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60dff651bf3fec/Desktop/Chevron Data/"/>
    </mc:Choice>
  </mc:AlternateContent>
  <xr:revisionPtr revIDLastSave="81" documentId="13_ncr:1_{A3C85F91-A76A-426B-91CE-444B6CCDD373}" xr6:coauthVersionLast="47" xr6:coauthVersionMax="47" xr10:uidLastSave="{54890270-4D33-4C56-A2DA-6BE54CF47855}"/>
  <bookViews>
    <workbookView xWindow="-110" yWindow="-110" windowWidth="19420" windowHeight="10300" tabRatio="709" xr2:uid="{B96F5823-6241-462F-A1E5-EFFDFE7B70F3}"/>
  </bookViews>
  <sheets>
    <sheet name="DCF Model" sheetId="1" r:id="rId1"/>
    <sheet name="WACC" sheetId="2" r:id="rId2"/>
    <sheet name="Data &gt;&gt;" sheetId="3" r:id="rId3"/>
    <sheet name="Income Statement" sheetId="6" r:id="rId4"/>
    <sheet name="Cash Flow Statement" sheetId="7" r:id="rId5"/>
    <sheet name="Balance Sheet" sheetId="8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F89" i="1" l="1"/>
  <c r="F86" i="1"/>
  <c r="F85" i="1"/>
  <c r="P37" i="8"/>
  <c r="P36" i="8"/>
  <c r="C36" i="1"/>
  <c r="C35" i="1"/>
  <c r="M75" i="1" l="1"/>
  <c r="N74" i="1"/>
  <c r="O74" i="1" s="1"/>
  <c r="C27" i="2"/>
  <c r="C29" i="2" s="1"/>
  <c r="C26" i="2"/>
  <c r="C25" i="2"/>
  <c r="N75" i="1" l="1"/>
  <c r="P74" i="1"/>
  <c r="O75" i="1"/>
  <c r="C28" i="2"/>
  <c r="Q74" i="1" l="1"/>
  <c r="P75" i="1"/>
  <c r="C17" i="2"/>
  <c r="C19" i="2" s="1"/>
  <c r="C33" i="2" s="1"/>
  <c r="C11" i="2"/>
  <c r="C28" i="1"/>
  <c r="C34" i="1"/>
  <c r="C33" i="1"/>
  <c r="C32" i="1"/>
  <c r="C31" i="1"/>
  <c r="S55" i="1" l="1"/>
  <c r="S68" i="1" s="1"/>
  <c r="R74" i="1"/>
  <c r="Q75" i="1"/>
  <c r="O58" i="1"/>
  <c r="O69" i="1" s="1"/>
  <c r="O55" i="1"/>
  <c r="O68" i="1" s="1"/>
  <c r="S58" i="1"/>
  <c r="S69" i="1" s="1"/>
  <c r="T55" i="1"/>
  <c r="T68" i="1" s="1"/>
  <c r="P58" i="1"/>
  <c r="P69" i="1" s="1"/>
  <c r="P55" i="1"/>
  <c r="P68" i="1" s="1"/>
  <c r="T58" i="1"/>
  <c r="T69" i="1" s="1"/>
  <c r="V55" i="1"/>
  <c r="V68" i="1" s="1"/>
  <c r="R58" i="1"/>
  <c r="R69" i="1" s="1"/>
  <c r="M55" i="1"/>
  <c r="M68" i="1" s="1"/>
  <c r="U55" i="1"/>
  <c r="U68" i="1" s="1"/>
  <c r="Q58" i="1"/>
  <c r="Q69" i="1" s="1"/>
  <c r="N55" i="1"/>
  <c r="N68" i="1" s="1"/>
  <c r="Q55" i="1"/>
  <c r="Q68" i="1" s="1"/>
  <c r="M58" i="1"/>
  <c r="M69" i="1" s="1"/>
  <c r="U58" i="1"/>
  <c r="U69" i="1" s="1"/>
  <c r="R55" i="1"/>
  <c r="R68" i="1" s="1"/>
  <c r="N58" i="1"/>
  <c r="N69" i="1" s="1"/>
  <c r="V58" i="1"/>
  <c r="V69" i="1" s="1"/>
  <c r="S74" i="1" l="1"/>
  <c r="R75" i="1"/>
  <c r="C30" i="1"/>
  <c r="C29" i="1"/>
  <c r="I61" i="1"/>
  <c r="J61" i="1"/>
  <c r="K61" i="1"/>
  <c r="L61" i="1"/>
  <c r="H61" i="1"/>
  <c r="I58" i="1"/>
  <c r="J58" i="1"/>
  <c r="K58" i="1"/>
  <c r="L58" i="1"/>
  <c r="H58" i="1"/>
  <c r="I55" i="1"/>
  <c r="J55" i="1"/>
  <c r="K55" i="1"/>
  <c r="L55" i="1"/>
  <c r="H55" i="1"/>
  <c r="I46" i="1"/>
  <c r="J46" i="1"/>
  <c r="K46" i="1"/>
  <c r="L46" i="1"/>
  <c r="H46" i="1"/>
  <c r="I43" i="1"/>
  <c r="J43" i="1"/>
  <c r="K43" i="1"/>
  <c r="L43" i="1"/>
  <c r="H43" i="1"/>
  <c r="I40" i="1"/>
  <c r="J40" i="1"/>
  <c r="K40" i="1"/>
  <c r="L40" i="1"/>
  <c r="H40" i="1"/>
  <c r="F36" i="6"/>
  <c r="E36" i="6"/>
  <c r="D36" i="6"/>
  <c r="C36" i="6"/>
  <c r="B36" i="6"/>
  <c r="K41" i="1" l="1"/>
  <c r="T74" i="1"/>
  <c r="S75" i="1"/>
  <c r="L59" i="1"/>
  <c r="J41" i="1"/>
  <c r="L49" i="1"/>
  <c r="L50" i="1" s="1"/>
  <c r="M40" i="1"/>
  <c r="H49" i="1"/>
  <c r="I47" i="1"/>
  <c r="L41" i="1"/>
  <c r="L47" i="1"/>
  <c r="L44" i="1"/>
  <c r="K47" i="1"/>
  <c r="J47" i="1"/>
  <c r="K49" i="1"/>
  <c r="H47" i="1"/>
  <c r="L56" i="1"/>
  <c r="J49" i="1"/>
  <c r="I49" i="1"/>
  <c r="H59" i="1"/>
  <c r="J59" i="1"/>
  <c r="H56" i="1"/>
  <c r="I62" i="1"/>
  <c r="I56" i="1"/>
  <c r="I59" i="1"/>
  <c r="H62" i="1"/>
  <c r="K59" i="1"/>
  <c r="L62" i="1"/>
  <c r="J56" i="1"/>
  <c r="K62" i="1"/>
  <c r="J62" i="1"/>
  <c r="K56" i="1"/>
  <c r="K44" i="1"/>
  <c r="J44" i="1"/>
  <c r="I44" i="1"/>
  <c r="H44" i="1"/>
  <c r="I41" i="1"/>
  <c r="U74" i="1" l="1"/>
  <c r="T75" i="1"/>
  <c r="R62" i="1"/>
  <c r="S62" i="1"/>
  <c r="T62" i="1"/>
  <c r="M62" i="1"/>
  <c r="M61" i="1" s="1"/>
  <c r="M70" i="1" s="1"/>
  <c r="U62" i="1"/>
  <c r="N62" i="1"/>
  <c r="O62" i="1"/>
  <c r="P62" i="1"/>
  <c r="Q62" i="1"/>
  <c r="V62" i="1"/>
  <c r="M43" i="1"/>
  <c r="M59" i="1"/>
  <c r="M56" i="1"/>
  <c r="N40" i="1"/>
  <c r="M41" i="1"/>
  <c r="H50" i="1"/>
  <c r="K50" i="1"/>
  <c r="I50" i="1"/>
  <c r="J50" i="1"/>
  <c r="V74" i="1" l="1"/>
  <c r="V75" i="1" s="1"/>
  <c r="U75" i="1"/>
  <c r="M44" i="1"/>
  <c r="M46" i="1"/>
  <c r="M47" i="1" s="1"/>
  <c r="N43" i="1"/>
  <c r="N44" i="1" s="1"/>
  <c r="N61" i="1"/>
  <c r="N70" i="1" s="1"/>
  <c r="N59" i="1"/>
  <c r="N56" i="1"/>
  <c r="N41" i="1"/>
  <c r="O40" i="1"/>
  <c r="M49" i="1" l="1"/>
  <c r="N46" i="1"/>
  <c r="N47" i="1" s="1"/>
  <c r="O43" i="1"/>
  <c r="O44" i="1" s="1"/>
  <c r="O61" i="1"/>
  <c r="O70" i="1" s="1"/>
  <c r="O59" i="1"/>
  <c r="O56" i="1"/>
  <c r="P40" i="1"/>
  <c r="O41" i="1"/>
  <c r="M67" i="1" l="1"/>
  <c r="M72" i="1" s="1"/>
  <c r="M76" i="1" s="1"/>
  <c r="M50" i="1"/>
  <c r="N49" i="1"/>
  <c r="O46" i="1"/>
  <c r="O47" i="1" s="1"/>
  <c r="P43" i="1"/>
  <c r="P44" i="1" s="1"/>
  <c r="P61" i="1"/>
  <c r="P70" i="1" s="1"/>
  <c r="P56" i="1"/>
  <c r="P59" i="1"/>
  <c r="P41" i="1"/>
  <c r="Q40" i="1"/>
  <c r="Q41" i="1" s="1"/>
  <c r="N67" i="1" l="1"/>
  <c r="N72" i="1" s="1"/>
  <c r="N76" i="1" s="1"/>
  <c r="N50" i="1"/>
  <c r="O49" i="1"/>
  <c r="Q43" i="1"/>
  <c r="Q44" i="1" s="1"/>
  <c r="Q61" i="1"/>
  <c r="Q70" i="1" s="1"/>
  <c r="Q56" i="1"/>
  <c r="Q59" i="1"/>
  <c r="P46" i="1"/>
  <c r="P47" i="1" s="1"/>
  <c r="R40" i="1"/>
  <c r="O67" i="1" l="1"/>
  <c r="O72" i="1" s="1"/>
  <c r="O76" i="1" s="1"/>
  <c r="P49" i="1"/>
  <c r="O50" i="1"/>
  <c r="Q46" i="1"/>
  <c r="Q47" i="1" s="1"/>
  <c r="R43" i="1"/>
  <c r="R44" i="1" s="1"/>
  <c r="R61" i="1"/>
  <c r="R70" i="1" s="1"/>
  <c r="R59" i="1"/>
  <c r="R56" i="1"/>
  <c r="R41" i="1"/>
  <c r="S40" i="1"/>
  <c r="P67" i="1" l="1"/>
  <c r="P72" i="1" s="1"/>
  <c r="P76" i="1" s="1"/>
  <c r="P50" i="1"/>
  <c r="Q49" i="1"/>
  <c r="S43" i="1"/>
  <c r="S61" i="1"/>
  <c r="S70" i="1" s="1"/>
  <c r="S56" i="1"/>
  <c r="S59" i="1"/>
  <c r="R46" i="1"/>
  <c r="R47" i="1" s="1"/>
  <c r="S41" i="1"/>
  <c r="T40" i="1"/>
  <c r="Q67" i="1" l="1"/>
  <c r="Q72" i="1" s="1"/>
  <c r="Q76" i="1" s="1"/>
  <c r="Q50" i="1"/>
  <c r="R49" i="1"/>
  <c r="S44" i="1"/>
  <c r="S46" i="1"/>
  <c r="S47" i="1" s="1"/>
  <c r="T43" i="1"/>
  <c r="T61" i="1"/>
  <c r="T70" i="1" s="1"/>
  <c r="T56" i="1"/>
  <c r="T59" i="1"/>
  <c r="T41" i="1"/>
  <c r="U40" i="1"/>
  <c r="U41" i="1" s="1"/>
  <c r="R67" i="1" l="1"/>
  <c r="R72" i="1" s="1"/>
  <c r="R76" i="1" s="1"/>
  <c r="R50" i="1"/>
  <c r="S49" i="1"/>
  <c r="T44" i="1"/>
  <c r="T46" i="1"/>
  <c r="U43" i="1"/>
  <c r="U61" i="1"/>
  <c r="U70" i="1" s="1"/>
  <c r="U59" i="1"/>
  <c r="U56" i="1"/>
  <c r="V40" i="1"/>
  <c r="V43" i="1" s="1"/>
  <c r="S67" i="1" l="1"/>
  <c r="S72" i="1" s="1"/>
  <c r="S76" i="1" s="1"/>
  <c r="S50" i="1"/>
  <c r="V61" i="1"/>
  <c r="V70" i="1" s="1"/>
  <c r="V59" i="1"/>
  <c r="V56" i="1"/>
  <c r="U44" i="1"/>
  <c r="U46" i="1"/>
  <c r="T47" i="1"/>
  <c r="T49" i="1"/>
  <c r="V41" i="1"/>
  <c r="V44" i="1"/>
  <c r="V46" i="1"/>
  <c r="V47" i="1" s="1"/>
  <c r="T67" i="1" l="1"/>
  <c r="T72" i="1" s="1"/>
  <c r="T76" i="1" s="1"/>
  <c r="T50" i="1"/>
  <c r="U47" i="1"/>
  <c r="U49" i="1"/>
  <c r="V49" i="1"/>
  <c r="V67" i="1" l="1"/>
  <c r="V72" i="1" s="1"/>
  <c r="F79" i="1" s="1"/>
  <c r="F80" i="1" s="1"/>
  <c r="U67" i="1"/>
  <c r="U72" i="1" s="1"/>
  <c r="U76" i="1" s="1"/>
  <c r="V50" i="1"/>
  <c r="U50" i="1"/>
  <c r="V76" i="1" l="1"/>
  <c r="F82" i="1" s="1"/>
  <c r="F83" i="1" s="1"/>
  <c r="F87" i="1" s="1"/>
  <c r="F90" i="1" s="1"/>
  <c r="C8" i="1" l="1"/>
  <c r="C9" i="1" s="1"/>
</calcChain>
</file>

<file path=xl/sharedStrings.xml><?xml version="1.0" encoding="utf-8"?>
<sst xmlns="http://schemas.openxmlformats.org/spreadsheetml/2006/main" count="353" uniqueCount="296">
  <si>
    <t xml:space="preserve">Chevron Corporation </t>
  </si>
  <si>
    <t xml:space="preserve">Company Ticker </t>
  </si>
  <si>
    <t>CVX</t>
  </si>
  <si>
    <t xml:space="preserve">Stock Price </t>
  </si>
  <si>
    <t xml:space="preserve">Delta </t>
  </si>
  <si>
    <t>Overview</t>
  </si>
  <si>
    <t xml:space="preserve">Assumptions </t>
  </si>
  <si>
    <t xml:space="preserve">Income Statement </t>
  </si>
  <si>
    <t xml:space="preserve">Cash Flow Statement </t>
  </si>
  <si>
    <t xml:space="preserve">Revenue </t>
  </si>
  <si>
    <t xml:space="preserve">% growth </t>
  </si>
  <si>
    <t>EBIT</t>
  </si>
  <si>
    <t>% sales</t>
  </si>
  <si>
    <t>Revenue growth %</t>
  </si>
  <si>
    <t>Exploration Expense</t>
  </si>
  <si>
    <t>Dry Hole Expense</t>
  </si>
  <si>
    <t>CHEVRON CORPORATION (CVX) — INCOME STATEMENT</t>
  </si>
  <si>
    <t>Bloomberg Consensus | Figures in USD Millions (except per share data and %)</t>
  </si>
  <si>
    <t>In Millions USD</t>
  </si>
  <si>
    <t>2020</t>
  </si>
  <si>
    <t>2021</t>
  </si>
  <si>
    <t>2022</t>
  </si>
  <si>
    <t>2023</t>
  </si>
  <si>
    <t>2024</t>
  </si>
  <si>
    <t>REVENUE</t>
  </si>
  <si>
    <t>Total Revenue</t>
  </si>
  <si>
    <t>COSTS &amp; EXPENSES</t>
  </si>
  <si>
    <t>Cost of Revenue</t>
  </si>
  <si>
    <t>Purchased Crude Oil &amp; Products</t>
  </si>
  <si>
    <t>Operating Expenses</t>
  </si>
  <si>
    <t>Selling, General &amp; Administrative</t>
  </si>
  <si>
    <t>Depreciation, Depletion &amp; Amortization</t>
  </si>
  <si>
    <t>Other Tax Expenses</t>
  </si>
  <si>
    <t>Total Costs &amp; Other Deductions</t>
  </si>
  <si>
    <t>OPERATING RESULTS</t>
  </si>
  <si>
    <t>Operating Income</t>
  </si>
  <si>
    <t>Interest Expense (Income), Net</t>
  </si>
  <si>
    <t>Other Income (Expense), Net</t>
  </si>
  <si>
    <t>Income from Joint Ventures</t>
  </si>
  <si>
    <t>Pre-Tax Income</t>
  </si>
  <si>
    <t>Income Tax Expense</t>
  </si>
  <si>
    <t>Tax Rate (%)</t>
  </si>
  <si>
    <t>Minority Interest</t>
  </si>
  <si>
    <t>Net Income</t>
  </si>
  <si>
    <t>Net Income Avail. to Common</t>
  </si>
  <si>
    <t>PER SHARE DATA</t>
  </si>
  <si>
    <t>Basic Weighted Avg. Shares</t>
  </si>
  <si>
    <t>Diluted Weighted Avg. Shares</t>
  </si>
  <si>
    <t>Diluted EPS</t>
  </si>
  <si>
    <t>Dividend per Share</t>
  </si>
  <si>
    <t>SUPPLEMENTAL METRICS</t>
  </si>
  <si>
    <t>EBITDA</t>
  </si>
  <si>
    <t>Adjusted Net Income</t>
  </si>
  <si>
    <t>Adjusted Diluted EPS</t>
  </si>
  <si>
    <t>Free Cash Flow</t>
  </si>
  <si>
    <t>Source: Bloomberg Terminal, 02/10/2026, CVX US Equity</t>
  </si>
  <si>
    <t>CHEVRON CORPORATION (CVX) — CASH FLOW STATEMENT</t>
  </si>
  <si>
    <t>Bloomberg Consensus | Figures in USD Millions (except per share data)</t>
  </si>
  <si>
    <t>CASH FROM OPERATING ACTIVITIES</t>
  </si>
  <si>
    <t>Depreciation &amp; Amortization</t>
  </si>
  <si>
    <t>Gain or Loss on Disposal of Assets</t>
  </si>
  <si>
    <t>Other Non-Cash Items</t>
  </si>
  <si>
    <t>Cash Contributions to Employee Pension Plans</t>
  </si>
  <si>
    <t>Change in Working Capital</t>
  </si>
  <si>
    <t>Foreign Exchange Gain Loss</t>
  </si>
  <si>
    <t>Equity in Earnings of Affiliates</t>
  </si>
  <si>
    <t>Deferred Taxes</t>
  </si>
  <si>
    <t>Cash Flow from Operations</t>
  </si>
  <si>
    <t>CASH FROM INVESTING ACTIVITIES</t>
  </si>
  <si>
    <t>Capital Expenditures</t>
  </si>
  <si>
    <t>Sale of Assets</t>
  </si>
  <si>
    <t>Net Repayment (Borrowing) of Loans by Equity Affiliates</t>
  </si>
  <si>
    <t>Other Investing Activities</t>
  </si>
  <si>
    <t>Cash Flow from Investing</t>
  </si>
  <si>
    <t>CASH FROM FINANCING ACTIVITIES</t>
  </si>
  <si>
    <t>Change in Long-Term Debt</t>
  </si>
  <si>
    <t>Proceeds from Issuances of Long-Term Debt</t>
  </si>
  <si>
    <t>Dividends Paid</t>
  </si>
  <si>
    <t>Increase/Decrease in Borrowings</t>
  </si>
  <si>
    <t>Net Borrowings (Repayments) of Short-Term Obligations</t>
  </si>
  <si>
    <t>Other</t>
  </si>
  <si>
    <t>Cash Flow from Financing</t>
  </si>
  <si>
    <t>SUPPLEMENTAL &amp; FREE CASH FLOW</t>
  </si>
  <si>
    <t>Net Changes in Cash</t>
  </si>
  <si>
    <t>Cash &amp; Cash Equivalents (BOP)</t>
  </si>
  <si>
    <t>Cash &amp; Cash Equivalents (EOP)</t>
  </si>
  <si>
    <t>Free Cash Flow per Share</t>
  </si>
  <si>
    <t>Net Share Buybacks</t>
  </si>
  <si>
    <t>Income Taxes Paid</t>
  </si>
  <si>
    <t>Interest on Debt (Net of Capitalized Interest)</t>
  </si>
  <si>
    <t>Operational Cash Flow excl. Working Capital</t>
  </si>
  <si>
    <t>Total Capital Expenditures</t>
  </si>
  <si>
    <t>Tax</t>
  </si>
  <si>
    <t>X</t>
  </si>
  <si>
    <t>% tax rate</t>
  </si>
  <si>
    <t xml:space="preserve"> </t>
  </si>
  <si>
    <t>Base</t>
  </si>
  <si>
    <t>Implied Stock Price</t>
  </si>
  <si>
    <t>BEST CASE</t>
  </si>
  <si>
    <t>BASE CASE</t>
  </si>
  <si>
    <t>WORST CASE</t>
  </si>
  <si>
    <t xml:space="preserve">Plus: Depriciation and Amortization </t>
  </si>
  <si>
    <t>Less: Capex</t>
  </si>
  <si>
    <t>Less: Changes in Working Capital</t>
  </si>
  <si>
    <t xml:space="preserve">Discounted Cash Flow Statement </t>
  </si>
  <si>
    <t>EBIAT (or NOPAT)</t>
  </si>
  <si>
    <t>Plus: Depriciation and Amortization</t>
  </si>
  <si>
    <t xml:space="preserve">Less: Change in Working Capital </t>
  </si>
  <si>
    <t>Scenario</t>
  </si>
  <si>
    <t>WACC</t>
  </si>
  <si>
    <t>TGR</t>
  </si>
  <si>
    <t>Active Scenario Values</t>
  </si>
  <si>
    <t>Revenue Growth %</t>
  </si>
  <si>
    <t>EBIT margin %</t>
  </si>
  <si>
    <t>EBIT Margin %</t>
  </si>
  <si>
    <t>Tax %</t>
  </si>
  <si>
    <t>Rationale</t>
  </si>
  <si>
    <t>D&amp;A and Capex are set as fixed dollar values below — more realistic for an oil major whose cost base is driven by assets, not revenue</t>
  </si>
  <si>
    <t>D&amp;A growth rate</t>
  </si>
  <si>
    <t xml:space="preserve">Capex - Base year amount </t>
  </si>
  <si>
    <t>D&amp;A - Base year amount</t>
  </si>
  <si>
    <t>Capex growth rate</t>
  </si>
  <si>
    <t>Terminal Growth Rate</t>
  </si>
  <si>
    <t>D&amp;A - Base year ($mn)</t>
  </si>
  <si>
    <t>D&amp;A Growth %</t>
  </si>
  <si>
    <t>Capex - Base year ($mn)</t>
  </si>
  <si>
    <t>Capex Growth %</t>
  </si>
  <si>
    <t>Worst: ~$52 WTI, oversupply; Base: ~$67 WTI + 2-3% vol growth (mgmt guidance); Best: ~$80 WTI + Permian/Guyana outperformance</t>
  </si>
  <si>
    <t>Historical range: -6% (2020) to 16% (2022); 2023A: 13%, 2024A: 9.3%; Base reflects mid-cycle normalisation</t>
  </si>
  <si>
    <t>2024A: 35.5% (elevated one-off); normalised historical avg 27-30%; small but legitimate lever</t>
  </si>
  <si>
    <t>Must be &lt; WACC. Anchored to long-run nominal GDP (~2%); worst reflects energy transition structural decline risk</t>
  </si>
  <si>
    <t>Column1</t>
  </si>
  <si>
    <t>Column2</t>
  </si>
  <si>
    <t>Anchored to 2024A: $17.3bn. Worst: slight decline as assets deplete without reinvestment; Best: higher from Guyana/Permian asset base build</t>
  </si>
  <si>
    <t>Low fixed growth — depletion schedule drives D&amp;A, not revenue. 2020-2024 avg growth: ~0% (range $16.3-19.5bn)</t>
  </si>
  <si>
    <t>CVX guided $14.5-15.5bn/yr. Worst: capex discipline/cuts at low prices; Best: increased investment in Guyana + Permian growth</t>
  </si>
  <si>
    <t>Modest real growth reflecting asset expansion; disciplined in worst case</t>
  </si>
  <si>
    <t xml:space="preserve">WACC Calculation </t>
  </si>
  <si>
    <t xml:space="preserve">Cost of Equity - CAPM: Ke = Rf + Beta * Market Risk Premium </t>
  </si>
  <si>
    <t>Inputs</t>
  </si>
  <si>
    <t>Risk-Free Rate (Rf)</t>
  </si>
  <si>
    <t>Beta</t>
  </si>
  <si>
    <t xml:space="preserve">Value </t>
  </si>
  <si>
    <t>Source</t>
  </si>
  <si>
    <t>10-Year US Treasury yield, Feb 2026</t>
  </si>
  <si>
    <t xml:space="preserve">Range/Sense Check </t>
  </si>
  <si>
    <t>0.85 - 1.05</t>
  </si>
  <si>
    <t>5.0 - 6.0%</t>
  </si>
  <si>
    <t>4.0 - 4.5%</t>
  </si>
  <si>
    <t>Bloomberg 5-year monthly regression vs S&amp;P 500; CVX is less volatile than market</t>
  </si>
  <si>
    <t>Damodaran implied ERP, Jan 2026 (US market)</t>
  </si>
  <si>
    <t>Cost of Equity (Ke)</t>
  </si>
  <si>
    <t>Rf + Beta * MRP</t>
  </si>
  <si>
    <t>Market Risk Premium (MRP)</t>
  </si>
  <si>
    <t>Column3</t>
  </si>
  <si>
    <t>Column4</t>
  </si>
  <si>
    <t>Cost of Debt - Kd (after tax) = Pre-tax Kd * (1 - Tax rate)</t>
  </si>
  <si>
    <t>Pre-tax Cost of Debt (Kd)</t>
  </si>
  <si>
    <t>4.0 - 5.0%</t>
  </si>
  <si>
    <t xml:space="preserve">Tax Rate </t>
  </si>
  <si>
    <t>28 - 32%</t>
  </si>
  <si>
    <t>Cost of Debt (Kd)</t>
  </si>
  <si>
    <t>Kd * (1 - Tax Rate)</t>
  </si>
  <si>
    <t>CVX Aa2/AA- rated; blended YTM on outstanding bonds (Bloomberg)</t>
  </si>
  <si>
    <t>Normalised effective tax rate — consistent with DCF base case assumption</t>
  </si>
  <si>
    <t>CHEVRON CORPORATION (CVX) — BALANCE SHEET</t>
  </si>
  <si>
    <t>Bloomberg Consensus Actuals (2020–2024)  |  USD Millions  |  Year-end 31 December</t>
  </si>
  <si>
    <t>2020A</t>
  </si>
  <si>
    <t>2021A</t>
  </si>
  <si>
    <t>2022A</t>
  </si>
  <si>
    <t>2023A</t>
  </si>
  <si>
    <t>2024A</t>
  </si>
  <si>
    <t>Notes</t>
  </si>
  <si>
    <t xml:space="preserve">  ASSETS</t>
  </si>
  <si>
    <t xml:space="preserve">  Current Assets</t>
  </si>
  <si>
    <t>Cash &amp; Cash Equivalents</t>
  </si>
  <si>
    <t>Marketable Securities</t>
  </si>
  <si>
    <t>Accounts Receivable</t>
  </si>
  <si>
    <t>Inventories — Crude Oil &amp; Products</t>
  </si>
  <si>
    <t>Inventories — Chemicals</t>
  </si>
  <si>
    <t>Inventories — Materials &amp; Supplies</t>
  </si>
  <si>
    <t>Other Current Assets</t>
  </si>
  <si>
    <t>Total Current Assets</t>
  </si>
  <si>
    <t xml:space="preserve">  Non-Current Assets</t>
  </si>
  <si>
    <t>Long-Term Receivables</t>
  </si>
  <si>
    <t>Property, Plant &amp; Equipment (Net)</t>
  </si>
  <si>
    <t>Net of accumulated depreciation</t>
  </si>
  <si>
    <t>Accumulated Depreciation</t>
  </si>
  <si>
    <t>Memo: gross PP&amp;E less net PP&amp;E</t>
  </si>
  <si>
    <t>Other Investments &amp; Affiliates</t>
  </si>
  <si>
    <t>Equity method investments incl. CPChem JV</t>
  </si>
  <si>
    <t>Deferred Charges &amp; Other Assets</t>
  </si>
  <si>
    <t>Goodwill</t>
  </si>
  <si>
    <t>Primarily from legacy acquisitions</t>
  </si>
  <si>
    <t>Assets Held for Sale</t>
  </si>
  <si>
    <t>Total Non-Current Assets</t>
  </si>
  <si>
    <t>TOTAL ASSETS</t>
  </si>
  <si>
    <t xml:space="preserve">  LIABILITIES &amp; EQUITY</t>
  </si>
  <si>
    <t xml:space="preserve">  Current Liabilities</t>
  </si>
  <si>
    <t>Accounts Payable</t>
  </si>
  <si>
    <t>Accrued Expenses</t>
  </si>
  <si>
    <t>Accrued Taxes</t>
  </si>
  <si>
    <t>Short-Term Debt</t>
  </si>
  <si>
    <t>Other Taxes Payable</t>
  </si>
  <si>
    <t>Total Current Liabilities</t>
  </si>
  <si>
    <t xml:space="preserve">  Non-Current Liabilities</t>
  </si>
  <si>
    <t>Long-Term Debt</t>
  </si>
  <si>
    <t>LT Capital Lease Obligations</t>
  </si>
  <si>
    <t>Deferred Tax Liabilities</t>
  </si>
  <si>
    <t>Reserves for Employee Benefits</t>
  </si>
  <si>
    <t>Pension &amp; post-retirement obligations</t>
  </si>
  <si>
    <t>Other Non-Current Liabilities</t>
  </si>
  <si>
    <t>Incl. asset retirement obligations</t>
  </si>
  <si>
    <t>Total Non-Current Liabilities</t>
  </si>
  <si>
    <t>Total Liabilities</t>
  </si>
  <si>
    <t xml:space="preserve">  Shareholders' Equity</t>
  </si>
  <si>
    <t>Common Stock</t>
  </si>
  <si>
    <t>Par value; shares outstanding relatively stable</t>
  </si>
  <si>
    <t>Additional Paid-In Capital</t>
  </si>
  <si>
    <t>Retained Earnings</t>
  </si>
  <si>
    <t>Key driver; reflects cumulative net income less dividends</t>
  </si>
  <si>
    <t>Accumulated Other Comprehensive Loss</t>
  </si>
  <si>
    <t>Primarily pension &amp; FX translation adjustments</t>
  </si>
  <si>
    <t>Unearned Compensation</t>
  </si>
  <si>
    <t>Non-controlling interests in subsidiaries</t>
  </si>
  <si>
    <t>Total Shareholders' Equity</t>
  </si>
  <si>
    <t>TOTAL LIABILITIES &amp; EQUITY</t>
  </si>
  <si>
    <t xml:space="preserve">  KEY BALANCE SHEET RATIOS &amp; CREDIT METRICS</t>
  </si>
  <si>
    <t>Metric</t>
  </si>
  <si>
    <t>Formula / Notes</t>
  </si>
  <si>
    <t>Gross Debt ($mm)</t>
  </si>
  <si>
    <t>Short-term debt + long-term debt + capital leases</t>
  </si>
  <si>
    <t>Net Debt ($mm)</t>
  </si>
  <si>
    <t>Gross debt less cash &amp; equivalents</t>
  </si>
  <si>
    <t>Current Ratio</t>
  </si>
  <si>
    <t>Current assets / current liabilities</t>
  </si>
  <si>
    <t>Debt / Equity</t>
  </si>
  <si>
    <t>Total debt / total shareholders' equity</t>
  </si>
  <si>
    <t>Debt / Total Assets</t>
  </si>
  <si>
    <t>Total debt / total assets</t>
  </si>
  <si>
    <t>Return on Equity (ROE %)</t>
  </si>
  <si>
    <t>Net income / average shareholders' equity</t>
  </si>
  <si>
    <t>Return on Assets (ROA %)</t>
  </si>
  <si>
    <t>Net income / average total assets</t>
  </si>
  <si>
    <t>Book Value per Share ($)</t>
  </si>
  <si>
    <t>Total equity / diluted shares outstanding</t>
  </si>
  <si>
    <t>Source: Bloomberg Terminal, 02/10/2026, CVX US Equity  |  Blue = hardcoded inputs from Bloomberg  |  Figures in USD millions</t>
  </si>
  <si>
    <t xml:space="preserve">Capital Structure </t>
  </si>
  <si>
    <t>Value ($mn)</t>
  </si>
  <si>
    <t>Weight</t>
  </si>
  <si>
    <t>1,817mm diluted shares × $186.76 current price  |  Update manually if price changes</t>
  </si>
  <si>
    <t>Market Capitalization (Equity)</t>
  </si>
  <si>
    <t>Total Debt  (2024A  —  STD + LTD + Leases)</t>
  </si>
  <si>
    <t>Short-Term Debt + Long-Term Debt + LT Leases</t>
  </si>
  <si>
    <t>Linked from Balance Sheet tab  (rows 32 + 37 + 38, 2024A)  |  Updates automatically</t>
  </si>
  <si>
    <t xml:space="preserve">  Memo: Book Value of Equity (2024A)</t>
  </si>
  <si>
    <t>For reference only — WACC uses market cap above</t>
  </si>
  <si>
    <t>Linked from Balance Sheet tab (row 52, 2024A)  |  Market cap used for WACC weights, not book</t>
  </si>
  <si>
    <t>Total Capital (E + D)</t>
  </si>
  <si>
    <t>Equity-heavy capital structure; CVX runs conservative leverage</t>
  </si>
  <si>
    <t>Debt ~10.7% of total capital at market values</t>
  </si>
  <si>
    <t>(E/V × Ke) + (D/V × Kd)</t>
  </si>
  <si>
    <t>Weight of Equity (E/V)</t>
  </si>
  <si>
    <t>Weight of Debt (D/V)</t>
  </si>
  <si>
    <t>WACC Sensitivity - WACC v/s Beta</t>
  </si>
  <si>
    <t>WACC / Beta</t>
  </si>
  <si>
    <t>MRP = 4.5%</t>
  </si>
  <si>
    <t>MRP = 5.0%</t>
  </si>
  <si>
    <t>MRP = 5.5%</t>
  </si>
  <si>
    <t>MRP = 6.0%</t>
  </si>
  <si>
    <t>MRP = 6.5%</t>
  </si>
  <si>
    <t>β = 0.80</t>
  </si>
  <si>
    <t>β = 0.90</t>
  </si>
  <si>
    <t>β = 0.95</t>
  </si>
  <si>
    <t>β = 1.00</t>
  </si>
  <si>
    <t>β = 1.10</t>
  </si>
  <si>
    <t>Free Cash Flow (FCF)</t>
  </si>
  <si>
    <t xml:space="preserve">Discount Period </t>
  </si>
  <si>
    <t xml:space="preserve">Discount Factor </t>
  </si>
  <si>
    <t>PV of FCF</t>
  </si>
  <si>
    <t xml:space="preserve">Terminal Value </t>
  </si>
  <si>
    <t xml:space="preserve">PV of Terminal Value </t>
  </si>
  <si>
    <t>Sum of PV of FCF</t>
  </si>
  <si>
    <t xml:space="preserve">Enterprise Value </t>
  </si>
  <si>
    <t>Net debt</t>
  </si>
  <si>
    <t>Less: Net Debt (2024A)</t>
  </si>
  <si>
    <t>Less: Minority Interest (2024A)</t>
  </si>
  <si>
    <t xml:space="preserve">Equity Value </t>
  </si>
  <si>
    <t>Diluted Outstanding Shares (mn)</t>
  </si>
  <si>
    <t>Implied Share Price</t>
  </si>
  <si>
    <t>See WACC tab — CAPM build-up: Ke ~9.5%, Kd ~3.15%, E/V ~93.5%</t>
  </si>
  <si>
    <t>Column5</t>
  </si>
  <si>
    <t>Column6</t>
  </si>
  <si>
    <t>Base case: ~9.11% — consistent with DCF Model assumption. Adjust Rf, Beta or ERP to flex.</t>
  </si>
  <si>
    <t>Yellow cell = base case (β=0.95, ERP=5.5%) → WACC ≈ 9.11%  |  Blue text = hardcoded inputs  |  Black = formulas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</si>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</sst>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General&quot;A&quot;"/>
    <numFmt numFmtId="165" formatCode="General&quot;F&quot;"/>
    <numFmt numFmtId="166" formatCode="_ * #,##0_ ;_ * \-#,##0_ ;_ * &quot;-&quot;??_ ;_ @_ "/>
    <numFmt numFmtId="167" formatCode="\$#,##0;&quot;($&quot;#,##0\);\-"/>
    <numFmt numFmtId="168" formatCode="0.0\%"/>
    <numFmt numFmtId="169" formatCode="#,##0;\(#,##0\);\-"/>
    <numFmt numFmtId="170" formatCode="\$#,##0.00;&quot;($&quot;#,##0.00\);\-"/>
    <numFmt numFmtId="171" formatCode="#,##0_ ;\-#,##0\ "/>
    <numFmt numFmtId="172" formatCode="[$$-409]#,##0.00"/>
    <numFmt numFmtId="173" formatCode="0.0%"/>
    <numFmt numFmtId="174" formatCode="0.00\x"/>
    <numFmt numFmtId="175" formatCode="0.0\x"/>
    <numFmt numFmtId="176" formatCode="0.0%;\(0.0%\);\-"/>
    <numFmt numFmtId="177" formatCode="\$#,##0.00"/>
    <numFmt numFmtId="178" formatCode="0.000"/>
    <numFmt numFmtId="179" formatCode="0.000%"/>
  </numFmts>
  <fonts count="3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ED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40404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8"/>
      <color rgb="FF80808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i/>
      <sz val="8"/>
      <color rgb="FF1F3864"/>
      <name val="Arial"/>
      <family val="2"/>
    </font>
    <font>
      <i/>
      <sz val="8"/>
      <color rgb="FF595959"/>
      <name val="Arial"/>
      <family val="2"/>
    </font>
    <font>
      <b/>
      <sz val="11"/>
      <color theme="8" tint="0.3999755851924192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9"/>
      <color rgb="FF595959"/>
      <name val="Arial"/>
      <family val="2"/>
    </font>
    <font>
      <i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i/>
      <sz val="9"/>
      <color theme="0" tint="-0.499984740745262"/>
      <name val="Aptos Narrow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theme="2" tint="-0.499984740745262"/>
      <name val="Aptos Narrow"/>
      <family val="2"/>
      <scheme val="minor"/>
    </font>
    <font>
      <i/>
      <sz val="9"/>
      <color rgb="FF000000"/>
      <name val="Arial"/>
      <family val="2"/>
    </font>
    <font>
      <b/>
      <i/>
      <sz val="9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1F3864"/>
        <bgColor rgb="FF2E4057"/>
      </patternFill>
    </fill>
    <fill>
      <patternFill patternType="solid">
        <fgColor rgb="FFE8EDF5"/>
        <bgColor rgb="FFF2F2F2"/>
      </patternFill>
    </fill>
    <fill>
      <patternFill patternType="solid">
        <fgColor rgb="FFD6DCE4"/>
        <bgColor rgb="FFD9E1F2"/>
      </patternFill>
    </fill>
    <fill>
      <patternFill patternType="solid">
        <fgColor rgb="FF2E4057"/>
        <bgColor rgb="FF1F3864"/>
      </patternFill>
    </fill>
    <fill>
      <patternFill patternType="solid">
        <fgColor rgb="FFD9E1F2"/>
        <bgColor rgb="FFD6DCE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EDF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2E4057"/>
        <bgColor rgb="FF344759"/>
      </patternFill>
    </fill>
    <fill>
      <patternFill patternType="solid">
        <fgColor rgb="FF344759"/>
        <bgColor rgb="FF2E4057"/>
      </patternFill>
    </fill>
    <fill>
      <patternFill patternType="solid">
        <fgColor rgb="FF4A6274"/>
        <bgColor rgb="FF595959"/>
      </patternFill>
    </fill>
    <fill>
      <patternFill patternType="solid">
        <fgColor rgb="FFD9E1F2"/>
        <bgColor rgb="FFDAE3F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</cellStyleXfs>
  <cellXfs count="16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 indent="2"/>
    </xf>
    <xf numFmtId="164" fontId="3" fillId="0" borderId="0" xfId="0" applyNumberFormat="1" applyFont="1"/>
    <xf numFmtId="165" fontId="3" fillId="0" borderId="0" xfId="0" applyNumberFormat="1" applyFont="1"/>
    <xf numFmtId="0" fontId="6" fillId="0" borderId="1" xfId="0" applyFont="1" applyBorder="1"/>
    <xf numFmtId="0" fontId="7" fillId="0" borderId="0" xfId="3"/>
    <xf numFmtId="0" fontId="10" fillId="5" borderId="0" xfId="3" applyFont="1" applyFill="1" applyAlignment="1">
      <alignment horizontal="left" vertical="center"/>
    </xf>
    <xf numFmtId="0" fontId="11" fillId="3" borderId="0" xfId="3" applyFont="1" applyFill="1" applyAlignment="1">
      <alignment horizontal="center" vertical="center"/>
    </xf>
    <xf numFmtId="0" fontId="10" fillId="7" borderId="0" xfId="3" applyFont="1" applyFill="1" applyAlignment="1">
      <alignment horizontal="left" indent="2"/>
    </xf>
    <xf numFmtId="167" fontId="12" fillId="7" borderId="0" xfId="3" applyNumberFormat="1" applyFont="1" applyFill="1" applyAlignment="1">
      <alignment horizontal="right"/>
    </xf>
    <xf numFmtId="0" fontId="13" fillId="8" borderId="0" xfId="3" applyFont="1" applyFill="1" applyAlignment="1">
      <alignment horizontal="left" indent="2"/>
    </xf>
    <xf numFmtId="167" fontId="14" fillId="8" borderId="0" xfId="3" applyNumberFormat="1" applyFont="1" applyFill="1" applyAlignment="1">
      <alignment horizontal="right"/>
    </xf>
    <xf numFmtId="0" fontId="13" fillId="9" borderId="0" xfId="3" applyFont="1" applyFill="1" applyAlignment="1">
      <alignment horizontal="left" indent="2"/>
    </xf>
    <xf numFmtId="167" fontId="14" fillId="9" borderId="0" xfId="3" applyNumberFormat="1" applyFont="1" applyFill="1" applyAlignment="1">
      <alignment horizontal="right"/>
    </xf>
    <xf numFmtId="168" fontId="14" fillId="8" borderId="0" xfId="3" applyNumberFormat="1" applyFont="1" applyFill="1" applyAlignment="1">
      <alignment horizontal="right"/>
    </xf>
    <xf numFmtId="169" fontId="14" fillId="8" borderId="0" xfId="3" applyNumberFormat="1" applyFont="1" applyFill="1" applyAlignment="1">
      <alignment horizontal="right"/>
    </xf>
    <xf numFmtId="169" fontId="14" fillId="9" borderId="0" xfId="3" applyNumberFormat="1" applyFont="1" applyFill="1" applyAlignment="1">
      <alignment horizontal="right"/>
    </xf>
    <xf numFmtId="170" fontId="14" fillId="8" borderId="0" xfId="3" applyNumberFormat="1" applyFont="1" applyFill="1" applyAlignment="1">
      <alignment horizontal="right"/>
    </xf>
    <xf numFmtId="170" fontId="14" fillId="9" borderId="0" xfId="3" applyNumberFormat="1" applyFont="1" applyFill="1" applyAlignment="1">
      <alignment horizontal="right"/>
    </xf>
    <xf numFmtId="0" fontId="12" fillId="7" borderId="0" xfId="3" applyFont="1" applyFill="1" applyAlignment="1">
      <alignment horizontal="left" indent="2"/>
    </xf>
    <xf numFmtId="0" fontId="10" fillId="7" borderId="0" xfId="3" applyFont="1" applyFill="1" applyAlignment="1">
      <alignment horizontal="right"/>
    </xf>
    <xf numFmtId="0" fontId="15" fillId="0" borderId="0" xfId="3" applyFont="1"/>
    <xf numFmtId="0" fontId="14" fillId="9" borderId="0" xfId="3" applyFont="1" applyFill="1" applyAlignment="1">
      <alignment horizontal="left" indent="2"/>
    </xf>
    <xf numFmtId="0" fontId="14" fillId="8" borderId="0" xfId="3" applyFont="1" applyFill="1" applyAlignment="1">
      <alignment horizontal="left" indent="2"/>
    </xf>
    <xf numFmtId="9" fontId="0" fillId="0" borderId="0" xfId="0" applyNumberFormat="1"/>
    <xf numFmtId="0" fontId="5" fillId="0" borderId="0" xfId="0" applyFont="1" applyAlignment="1">
      <alignment horizontal="left" indent="1"/>
    </xf>
    <xf numFmtId="17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3" fillId="10" borderId="0" xfId="0" applyFont="1" applyFill="1"/>
    <xf numFmtId="173" fontId="0" fillId="0" borderId="0" xfId="1" applyNumberFormat="1" applyFont="1"/>
    <xf numFmtId="0" fontId="3" fillId="0" borderId="0" xfId="0" applyFont="1" applyAlignment="1">
      <alignment horizontal="left"/>
    </xf>
    <xf numFmtId="173" fontId="5" fillId="0" borderId="0" xfId="1" applyNumberFormat="1" applyFont="1"/>
    <xf numFmtId="171" fontId="0" fillId="0" borderId="0" xfId="0" applyNumberFormat="1"/>
    <xf numFmtId="0" fontId="16" fillId="11" borderId="0" xfId="0" applyFont="1" applyFill="1"/>
    <xf numFmtId="0" fontId="16" fillId="13" borderId="0" xfId="0" applyFont="1" applyFill="1"/>
    <xf numFmtId="0" fontId="16" fillId="15" borderId="0" xfId="0" applyFont="1" applyFill="1"/>
    <xf numFmtId="173" fontId="5" fillId="12" borderId="0" xfId="2" applyNumberFormat="1" applyFont="1" applyFill="1" applyAlignment="1">
      <alignment horizontal="right"/>
    </xf>
    <xf numFmtId="173" fontId="5" fillId="14" borderId="0" xfId="2" applyNumberFormat="1" applyFont="1" applyFill="1" applyAlignment="1">
      <alignment horizontal="right"/>
    </xf>
    <xf numFmtId="173" fontId="5" fillId="16" borderId="0" xfId="2" applyNumberFormat="1" applyFont="1" applyFill="1" applyAlignment="1">
      <alignment horizontal="right"/>
    </xf>
    <xf numFmtId="173" fontId="5" fillId="12" borderId="0" xfId="0" applyNumberFormat="1" applyFont="1" applyFill="1"/>
    <xf numFmtId="173" fontId="5" fillId="14" borderId="0" xfId="0" applyNumberFormat="1" applyFont="1" applyFill="1"/>
    <xf numFmtId="173" fontId="5" fillId="16" borderId="0" xfId="0" applyNumberFormat="1" applyFont="1" applyFill="1"/>
    <xf numFmtId="0" fontId="19" fillId="0" borderId="0" xfId="0" applyFont="1" applyAlignment="1">
      <alignment horizontal="left" vertical="center"/>
    </xf>
    <xf numFmtId="173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5" fillId="12" borderId="0" xfId="2" applyNumberFormat="1" applyFont="1" applyFill="1" applyAlignment="1">
      <alignment horizontal="right"/>
    </xf>
    <xf numFmtId="166" fontId="5" fillId="14" borderId="0" xfId="2" applyNumberFormat="1" applyFont="1" applyFill="1" applyAlignment="1">
      <alignment horizontal="right"/>
    </xf>
    <xf numFmtId="166" fontId="5" fillId="16" borderId="0" xfId="2" applyNumberFormat="1" applyFont="1" applyFill="1" applyAlignment="1">
      <alignment horizontal="right"/>
    </xf>
    <xf numFmtId="165" fontId="3" fillId="19" borderId="0" xfId="0" applyNumberFormat="1" applyFont="1" applyFill="1"/>
    <xf numFmtId="171" fontId="20" fillId="0" borderId="0" xfId="2" applyNumberFormat="1" applyFont="1"/>
    <xf numFmtId="173" fontId="22" fillId="12" borderId="0" xfId="0" applyNumberFormat="1" applyFont="1" applyFill="1"/>
    <xf numFmtId="173" fontId="22" fillId="14" borderId="0" xfId="0" applyNumberFormat="1" applyFont="1" applyFill="1"/>
    <xf numFmtId="173" fontId="22" fillId="16" borderId="0" xfId="0" applyNumberFormat="1" applyFont="1" applyFill="1"/>
    <xf numFmtId="173" fontId="22" fillId="12" borderId="0" xfId="2" applyNumberFormat="1" applyFont="1" applyFill="1" applyAlignment="1">
      <alignment horizontal="right"/>
    </xf>
    <xf numFmtId="173" fontId="22" fillId="14" borderId="0" xfId="2" applyNumberFormat="1" applyFont="1" applyFill="1" applyAlignment="1">
      <alignment horizontal="right"/>
    </xf>
    <xf numFmtId="173" fontId="22" fillId="16" borderId="0" xfId="2" applyNumberFormat="1" applyFont="1" applyFill="1" applyAlignment="1">
      <alignment horizontal="right"/>
    </xf>
    <xf numFmtId="0" fontId="23" fillId="0" borderId="1" xfId="0" applyFont="1" applyBorder="1"/>
    <xf numFmtId="0" fontId="24" fillId="9" borderId="0" xfId="0" applyFont="1" applyFill="1" applyAlignment="1">
      <alignment horizontal="left" vertical="center"/>
    </xf>
    <xf numFmtId="0" fontId="3" fillId="0" borderId="0" xfId="0" applyFont="1" applyAlignment="1">
      <alignment wrapText="1"/>
    </xf>
    <xf numFmtId="0" fontId="25" fillId="0" borderId="0" xfId="0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0" fontId="3" fillId="20" borderId="0" xfId="0" applyFont="1" applyFill="1"/>
    <xf numFmtId="0" fontId="25" fillId="20" borderId="0" xfId="0" applyFont="1" applyFill="1" applyAlignment="1">
      <alignment horizontal="center"/>
    </xf>
    <xf numFmtId="0" fontId="3" fillId="18" borderId="2" xfId="0" applyFont="1" applyFill="1" applyBorder="1" applyAlignment="1">
      <alignment wrapText="1"/>
    </xf>
    <xf numFmtId="0" fontId="3" fillId="18" borderId="2" xfId="0" applyFont="1" applyFill="1" applyBorder="1" applyAlignment="1">
      <alignment horizontal="center"/>
    </xf>
    <xf numFmtId="0" fontId="3" fillId="18" borderId="2" xfId="0" applyFont="1" applyFill="1" applyBorder="1"/>
    <xf numFmtId="0" fontId="3" fillId="18" borderId="0" xfId="0" applyFont="1" applyFill="1" applyAlignment="1">
      <alignment wrapText="1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0" fontId="3" fillId="20" borderId="0" xfId="0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0" fontId="11" fillId="21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13" fillId="0" borderId="0" xfId="3" applyFont="1" applyAlignment="1">
      <alignment horizontal="left" vertical="center" indent="2"/>
    </xf>
    <xf numFmtId="167" fontId="14" fillId="0" borderId="0" xfId="3" applyNumberFormat="1" applyFont="1" applyAlignment="1">
      <alignment horizontal="right" vertical="center"/>
    </xf>
    <xf numFmtId="0" fontId="13" fillId="9" borderId="0" xfId="3" applyFont="1" applyFill="1" applyAlignment="1">
      <alignment horizontal="left" vertical="center" indent="2"/>
    </xf>
    <xf numFmtId="167" fontId="14" fillId="9" borderId="0" xfId="3" applyNumberFormat="1" applyFont="1" applyFill="1" applyAlignment="1">
      <alignment horizontal="right" vertical="center"/>
    </xf>
    <xf numFmtId="0" fontId="10" fillId="24" borderId="0" xfId="3" applyFont="1" applyFill="1" applyAlignment="1">
      <alignment horizontal="left" vertical="center"/>
    </xf>
    <xf numFmtId="167" fontId="12" fillId="24" borderId="0" xfId="3" applyNumberFormat="1" applyFont="1" applyFill="1" applyAlignment="1">
      <alignment horizontal="right" vertical="center"/>
    </xf>
    <xf numFmtId="0" fontId="19" fillId="9" borderId="0" xfId="3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29" fillId="3" borderId="0" xfId="3" applyFont="1" applyFill="1" applyAlignment="1">
      <alignment horizontal="left" vertical="center"/>
    </xf>
    <xf numFmtId="167" fontId="29" fillId="3" borderId="0" xfId="3" applyNumberFormat="1" applyFont="1" applyFill="1" applyAlignment="1">
      <alignment horizontal="right" vertical="center"/>
    </xf>
    <xf numFmtId="0" fontId="13" fillId="0" borderId="0" xfId="3" applyFont="1" applyAlignment="1">
      <alignment horizontal="left" vertical="center" indent="1"/>
    </xf>
    <xf numFmtId="0" fontId="13" fillId="9" borderId="0" xfId="3" applyFont="1" applyFill="1" applyAlignment="1">
      <alignment horizontal="left" vertical="center" indent="1"/>
    </xf>
    <xf numFmtId="174" fontId="14" fillId="0" borderId="0" xfId="3" applyNumberFormat="1" applyFont="1" applyAlignment="1">
      <alignment horizontal="right" vertical="center"/>
    </xf>
    <xf numFmtId="175" fontId="14" fillId="9" borderId="0" xfId="3" applyNumberFormat="1" applyFont="1" applyFill="1" applyAlignment="1">
      <alignment horizontal="right" vertical="center"/>
    </xf>
    <xf numFmtId="173" fontId="14" fillId="0" borderId="0" xfId="3" applyNumberFormat="1" applyFont="1" applyAlignment="1">
      <alignment horizontal="right" vertical="center"/>
    </xf>
    <xf numFmtId="176" fontId="14" fillId="9" borderId="0" xfId="3" applyNumberFormat="1" applyFont="1" applyFill="1" applyAlignment="1">
      <alignment horizontal="right" vertical="center"/>
    </xf>
    <xf numFmtId="176" fontId="14" fillId="0" borderId="0" xfId="3" applyNumberFormat="1" applyFont="1" applyAlignment="1">
      <alignment horizontal="right" vertical="center"/>
    </xf>
    <xf numFmtId="177" fontId="14" fillId="9" borderId="0" xfId="3" applyNumberFormat="1" applyFont="1" applyFill="1" applyAlignment="1">
      <alignment horizontal="right" vertical="center"/>
    </xf>
    <xf numFmtId="0" fontId="3" fillId="25" borderId="0" xfId="0" applyFont="1" applyFill="1"/>
    <xf numFmtId="0" fontId="0" fillId="25" borderId="0" xfId="0" applyFill="1"/>
    <xf numFmtId="171" fontId="17" fillId="25" borderId="0" xfId="2" applyNumberFormat="1" applyFont="1" applyFill="1"/>
    <xf numFmtId="166" fontId="3" fillId="25" borderId="0" xfId="2" applyNumberFormat="1" applyFont="1" applyFill="1"/>
    <xf numFmtId="166" fontId="3" fillId="25" borderId="0" xfId="0" applyNumberFormat="1" applyFont="1" applyFill="1"/>
    <xf numFmtId="171" fontId="21" fillId="25" borderId="0" xfId="2" applyNumberFormat="1" applyFont="1" applyFill="1"/>
    <xf numFmtId="173" fontId="5" fillId="26" borderId="0" xfId="1" applyNumberFormat="1" applyFont="1" applyFill="1" applyAlignment="1">
      <alignment horizontal="left" indent="2"/>
    </xf>
    <xf numFmtId="173" fontId="5" fillId="26" borderId="0" xfId="1" applyNumberFormat="1" applyFont="1" applyFill="1"/>
    <xf numFmtId="0" fontId="5" fillId="26" borderId="0" xfId="0" applyFont="1" applyFill="1" applyAlignment="1">
      <alignment horizontal="left" indent="2"/>
    </xf>
    <xf numFmtId="0" fontId="0" fillId="26" borderId="0" xfId="0" applyFill="1"/>
    <xf numFmtId="173" fontId="5" fillId="26" borderId="0" xfId="0" applyNumberFormat="1" applyFont="1" applyFill="1"/>
    <xf numFmtId="164" fontId="3" fillId="20" borderId="0" xfId="0" applyNumberFormat="1" applyFont="1" applyFill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166" fontId="24" fillId="0" borderId="0" xfId="2" applyNumberFormat="1" applyFont="1" applyAlignment="1">
      <alignment vertical="center"/>
    </xf>
    <xf numFmtId="166" fontId="0" fillId="0" borderId="0" xfId="0" applyNumberFormat="1"/>
    <xf numFmtId="166" fontId="0" fillId="0" borderId="0" xfId="2" applyNumberFormat="1" applyFont="1" applyAlignment="1">
      <alignment horizontal="center" vertical="center"/>
    </xf>
    <xf numFmtId="178" fontId="30" fillId="0" borderId="0" xfId="0" applyNumberFormat="1" applyFont="1"/>
    <xf numFmtId="167" fontId="7" fillId="0" borderId="0" xfId="3" applyNumberFormat="1"/>
    <xf numFmtId="0" fontId="3" fillId="25" borderId="3" xfId="0" applyFont="1" applyFill="1" applyBorder="1"/>
    <xf numFmtId="0" fontId="0" fillId="25" borderId="3" xfId="0" applyFill="1" applyBorder="1"/>
    <xf numFmtId="10" fontId="31" fillId="0" borderId="0" xfId="0" applyNumberFormat="1" applyFont="1" applyAlignment="1">
      <alignment horizontal="center" vertical="center"/>
    </xf>
    <xf numFmtId="10" fontId="32" fillId="27" borderId="0" xfId="0" applyNumberFormat="1" applyFont="1" applyFill="1" applyAlignment="1">
      <alignment horizontal="center" vertical="center"/>
    </xf>
    <xf numFmtId="0" fontId="0" fillId="2" borderId="4" xfId="0" applyFill="1" applyBorder="1"/>
    <xf numFmtId="0" fontId="0" fillId="0" borderId="4" xfId="0" applyBorder="1"/>
    <xf numFmtId="171" fontId="17" fillId="25" borderId="4" xfId="2" applyNumberFormat="1" applyFont="1" applyFill="1" applyBorder="1"/>
    <xf numFmtId="173" fontId="5" fillId="26" borderId="4" xfId="1" applyNumberFormat="1" applyFont="1" applyFill="1" applyBorder="1"/>
    <xf numFmtId="173" fontId="0" fillId="0" borderId="4" xfId="1" applyNumberFormat="1" applyFont="1" applyBorder="1"/>
    <xf numFmtId="173" fontId="5" fillId="0" borderId="4" xfId="1" applyNumberFormat="1" applyFont="1" applyBorder="1"/>
    <xf numFmtId="171" fontId="21" fillId="25" borderId="4" xfId="2" applyNumberFormat="1" applyFont="1" applyFill="1" applyBorder="1"/>
    <xf numFmtId="171" fontId="20" fillId="0" borderId="4" xfId="2" applyNumberFormat="1" applyFont="1" applyBorder="1"/>
    <xf numFmtId="171" fontId="0" fillId="0" borderId="4" xfId="0" applyNumberFormat="1" applyBorder="1"/>
    <xf numFmtId="0" fontId="3" fillId="28" borderId="0" xfId="0" applyFont="1" applyFill="1"/>
    <xf numFmtId="0" fontId="0" fillId="28" borderId="0" xfId="0" applyFill="1"/>
    <xf numFmtId="171" fontId="3" fillId="28" borderId="0" xfId="0" applyNumberFormat="1" applyFont="1" applyFill="1"/>
    <xf numFmtId="171" fontId="3" fillId="28" borderId="4" xfId="0" applyNumberFormat="1" applyFont="1" applyFill="1" applyBorder="1"/>
    <xf numFmtId="0" fontId="3" fillId="28" borderId="3" xfId="0" applyFont="1" applyFill="1" applyBorder="1" applyAlignment="1">
      <alignment horizontal="left"/>
    </xf>
    <xf numFmtId="0" fontId="0" fillId="28" borderId="3" xfId="0" applyFill="1" applyBorder="1"/>
    <xf numFmtId="0" fontId="0" fillId="28" borderId="5" xfId="0" applyFill="1" applyBorder="1"/>
    <xf numFmtId="171" fontId="3" fillId="28" borderId="3" xfId="0" applyNumberFormat="1" applyFont="1" applyFill="1" applyBorder="1"/>
    <xf numFmtId="0" fontId="3" fillId="28" borderId="3" xfId="0" applyFont="1" applyFill="1" applyBorder="1"/>
    <xf numFmtId="172" fontId="22" fillId="28" borderId="3" xfId="2" applyNumberFormat="1" applyFont="1" applyFill="1" applyBorder="1"/>
    <xf numFmtId="179" fontId="0" fillId="0" borderId="0" xfId="0" applyNumberFormat="1"/>
    <xf numFmtId="10" fontId="24" fillId="0" borderId="0" xfId="0" applyNumberFormat="1" applyFont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0" fontId="22" fillId="16" borderId="0" xfId="2" applyNumberFormat="1" applyFont="1" applyFill="1" applyAlignment="1">
      <alignment horizontal="right"/>
    </xf>
    <xf numFmtId="10" fontId="22" fillId="14" borderId="0" xfId="2" applyNumberFormat="1" applyFont="1" applyFill="1" applyAlignment="1">
      <alignment horizontal="right"/>
    </xf>
    <xf numFmtId="10" fontId="22" fillId="12" borderId="0" xfId="2" applyNumberFormat="1" applyFont="1" applyFill="1" applyAlignment="1">
      <alignment horizontal="right"/>
    </xf>
    <xf numFmtId="173" fontId="5" fillId="26" borderId="0" xfId="1" applyNumberFormat="1" applyFont="1" applyFill="1" applyAlignment="1">
      <alignment horizontal="center"/>
    </xf>
    <xf numFmtId="172" fontId="3" fillId="0" borderId="0" xfId="0" applyNumberFormat="1" applyFont="1" applyAlignment="1">
      <alignment horizontal="center"/>
    </xf>
    <xf numFmtId="172" fontId="3" fillId="25" borderId="3" xfId="0" applyNumberFormat="1" applyFont="1" applyFill="1" applyBorder="1" applyAlignment="1">
      <alignment horizontal="center"/>
    </xf>
    <xf numFmtId="0" fontId="3" fillId="25" borderId="3" xfId="0" applyFont="1" applyFill="1" applyBorder="1" applyAlignment="1">
      <alignment horizontal="center"/>
    </xf>
    <xf numFmtId="17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17" borderId="0" xfId="0" applyFont="1" applyFill="1" applyAlignment="1">
      <alignment horizontal="center"/>
    </xf>
    <xf numFmtId="0" fontId="18" fillId="0" borderId="0" xfId="0" applyFont="1" applyAlignment="1">
      <alignment horizontal="left" vertical="center"/>
    </xf>
    <xf numFmtId="172" fontId="3" fillId="25" borderId="0" xfId="0" applyNumberFormat="1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11" fillId="6" borderId="0" xfId="3" applyFont="1" applyFill="1" applyAlignment="1">
      <alignment horizontal="left" vertical="center" indent="1"/>
    </xf>
    <xf numFmtId="0" fontId="8" fillId="3" borderId="0" xfId="3" applyFont="1" applyFill="1" applyAlignment="1">
      <alignment horizontal="center" vertical="center"/>
    </xf>
    <xf numFmtId="0" fontId="9" fillId="4" borderId="0" xfId="3" applyFont="1" applyFill="1" applyAlignment="1">
      <alignment horizontal="center"/>
    </xf>
    <xf numFmtId="0" fontId="11" fillId="22" borderId="0" xfId="3" applyFont="1" applyFill="1" applyAlignment="1">
      <alignment horizontal="left" vertical="center"/>
    </xf>
    <xf numFmtId="0" fontId="9" fillId="4" borderId="0" xfId="3" applyFont="1" applyFill="1" applyAlignment="1">
      <alignment horizontal="center" vertical="center"/>
    </xf>
    <xf numFmtId="0" fontId="28" fillId="23" borderId="0" xfId="3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9" fontId="0" fillId="0" borderId="0" xfId="1" applyNumberFormat="1" applyFont="1"/>
  </cellXfs>
  <cellStyles count="4">
    <cellStyle name="Comma" xfId="2" builtinId="3"/>
    <cellStyle name="Normal" xfId="0" builtinId="0"/>
    <cellStyle name="Normal 2" xfId="3" xr:uid="{79AD210F-A2FD-4349-8C64-58B77D2BA590}"/>
    <cellStyle name="Percent" xfId="1" builtinId="5"/>
  </cellStyles>
  <dxfs count="2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Arial"/>
        <family val="2"/>
        <scheme val="none"/>
      </font>
      <fill>
        <patternFill patternType="solid">
          <fgColor rgb="FFE8EDF5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Arial"/>
        <family val="2"/>
        <scheme val="none"/>
      </font>
      <fill>
        <patternFill patternType="solid">
          <fgColor rgb="FFE8EDF5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15D7CC-7214-43CD-9909-BB16D8AB58BE}" name="Table2" displayName="Table2" ref="B27:C36" totalsRowShown="0">
  <autoFilter ref="B27:C36" xr:uid="{E415D7CC-7214-43CD-9909-BB16D8AB58BE}"/>
  <tableColumns count="2">
    <tableColumn id="1" xr3:uid="{B09700F2-8EC9-4601-9322-077DDF0E8572}" name="Column1"/>
    <tableColumn id="2" xr3:uid="{B25FA5C2-3DB3-41F7-B291-73E59E225E55}" name="Column2" dataDxfId="2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5D68A-6A4D-417A-9189-EFF688CC5A06}" name="Table1" displayName="Table1" ref="B5:E9" totalsRowShown="0">
  <autoFilter ref="B5:E9" xr:uid="{3245D68A-6A4D-417A-9189-EFF688CC5A06}"/>
  <tableColumns count="4">
    <tableColumn id="1" xr3:uid="{94E22C24-D7E2-4AE1-B330-4CA1C13E8FF4}" name="Column1"/>
    <tableColumn id="2" xr3:uid="{6B3E21C2-2ACB-4605-8EC4-E1DC7B50DB45}" name="Column2"/>
    <tableColumn id="3" xr3:uid="{989DD18B-3F46-45F1-99FF-E0FAD78E68FE}" name="Column3" dataDxfId="19"/>
    <tableColumn id="4" xr3:uid="{59273E79-F925-42A7-A485-458F472EBEA7}" name="Column4" dataDxfId="18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CDEDB7-BF99-40D6-8FE4-6E9EC2A833D8}" name="Table3" displayName="Table3" ref="B14:E17" totalsRowShown="0" tableBorderDxfId="17">
  <autoFilter ref="B14:E17" xr:uid="{00CDEDB7-BF99-40D6-8FE4-6E9EC2A833D8}"/>
  <tableColumns count="4">
    <tableColumn id="1" xr3:uid="{24DFAAFB-61A2-4890-A0DA-24EE9D61D7EA}" name="Column1"/>
    <tableColumn id="2" xr3:uid="{DDF40D7D-E608-4500-B1C2-98D04A66BD84}" name="Column2"/>
    <tableColumn id="3" xr3:uid="{1633BF8E-EFA3-4795-80BA-F6A3EEAC8CB1}" name="Column3"/>
    <tableColumn id="4" xr3:uid="{BA12AE94-6F90-458B-8E01-058C06B81052}" name="Column4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0DB45A-E9EB-45AA-B455-C9D23DE55CA4}" name="Table4" displayName="Table4" ref="B22:E29" totalsRowShown="0" headerRowDxfId="16" tableBorderDxfId="15">
  <autoFilter ref="B22:E29" xr:uid="{0C0DB45A-E9EB-45AA-B455-C9D23DE55CA4}"/>
  <tableColumns count="4">
    <tableColumn id="1" xr3:uid="{1D60E898-E271-4F11-B785-3EA3203FE6E4}" name="Column1"/>
    <tableColumn id="2" xr3:uid="{5513B164-47C4-43E3-AEC6-67F10E65DCD5}" name="Column2"/>
    <tableColumn id="3" xr3:uid="{F35988E6-7E34-413A-BFAD-B77478A0BE0C}" name="Column3"/>
    <tableColumn id="4" xr3:uid="{2930D4F0-6D56-461E-A4A4-CCD326B5B517}" name="Column4" dataDxfId="14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D76BBF-1BA8-4062-8B71-EC0BEF9F05CE}" name="Table5" displayName="Table5" ref="B36:G42" totalsRowShown="0" headerRowDxfId="13" dataDxfId="12">
  <autoFilter ref="B36:G42" xr:uid="{33D76BBF-1BA8-4062-8B71-EC0BEF9F05CE}"/>
  <tableColumns count="6">
    <tableColumn id="1" xr3:uid="{A6F9AA3B-05DD-4BB7-BD48-25A34B45E9FD}" name="Column1" dataDxfId="11"/>
    <tableColumn id="2" xr3:uid="{7CE39039-1E2E-42D4-90D1-78EEC30E13BB}" name="Column2" dataDxfId="10"/>
    <tableColumn id="3" xr3:uid="{1D8E0B7B-6C77-4F0C-8E29-29CFCC33B2BE}" name="Column3" dataDxfId="9"/>
    <tableColumn id="4" xr3:uid="{D9B8F474-03EA-4005-9F58-038CC38A4B26}" name="Column4" dataDxfId="8"/>
    <tableColumn id="5" xr3:uid="{D452D2E6-B881-482D-9AE0-20A9DEBD6FCC}" name="Column5" dataDxfId="7"/>
    <tableColumn id="6" xr3:uid="{E213720B-E5B4-4EAA-9890-9906C19FAA5D}" name="Column6" dataDxfId="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80A5-7E28-4920-B665-E268E557CB52}">
  <dimension ref="A2:V91"/>
  <sheetViews>
    <sheetView showGridLines="0" tabSelected="1" zoomScale="84" zoomScaleNormal="7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I6" sqref="I6"/>
    </sheetView>
  </sheetViews>
  <sheetFormatPr defaultRowHeight="14.5" x14ac:dyDescent="0.35"/>
  <cols>
    <col min="1" max="1" width="2.6328125" customWidth="1"/>
    <col min="2" max="2" width="22.26953125" bestFit="1" customWidth="1"/>
    <col min="3" max="3" width="11.90625" bestFit="1" customWidth="1"/>
    <col min="4" max="4" width="9.90625" bestFit="1" customWidth="1"/>
    <col min="5" max="5" width="9.7265625" bestFit="1" customWidth="1"/>
    <col min="8" max="8" width="11.36328125" bestFit="1" customWidth="1"/>
    <col min="9" max="12" width="11.1796875" bestFit="1" customWidth="1"/>
    <col min="13" max="22" width="12.36328125" bestFit="1" customWidth="1"/>
  </cols>
  <sheetData>
    <row r="2" spans="1:22" s="4" customFormat="1" ht="20" customHeight="1" x14ac:dyDescent="0.55000000000000004">
      <c r="A2"/>
      <c r="B2" s="9" t="s">
        <v>0</v>
      </c>
    </row>
    <row r="3" spans="1:22" x14ac:dyDescent="0.35">
      <c r="H3" s="112">
        <v>2020</v>
      </c>
      <c r="I3" s="112">
        <v>2021</v>
      </c>
      <c r="J3" s="112">
        <v>2022</v>
      </c>
      <c r="K3" s="112">
        <v>2023</v>
      </c>
      <c r="L3" s="112">
        <v>2024</v>
      </c>
      <c r="M3" s="56">
        <v>2025</v>
      </c>
      <c r="N3" s="56">
        <v>2026</v>
      </c>
      <c r="O3" s="56">
        <v>2027</v>
      </c>
      <c r="P3" s="56">
        <v>2028</v>
      </c>
      <c r="Q3" s="56">
        <v>2029</v>
      </c>
      <c r="R3" s="56">
        <v>2030</v>
      </c>
      <c r="S3" s="56">
        <v>2031</v>
      </c>
      <c r="T3" s="56">
        <v>2032</v>
      </c>
      <c r="U3" s="56">
        <v>2033</v>
      </c>
      <c r="V3" s="56">
        <v>2034</v>
      </c>
    </row>
    <row r="4" spans="1:22" x14ac:dyDescent="0.35">
      <c r="H4" s="7"/>
      <c r="I4" s="7"/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s="1" customFormat="1" ht="16" x14ac:dyDescent="0.4">
      <c r="A5" s="3" t="s">
        <v>93</v>
      </c>
      <c r="B5" s="2" t="s">
        <v>5</v>
      </c>
    </row>
    <row r="6" spans="1:22" x14ac:dyDescent="0.35">
      <c r="B6" s="33" t="s">
        <v>1</v>
      </c>
      <c r="C6" s="5" t="s">
        <v>2</v>
      </c>
    </row>
    <row r="7" spans="1:22" x14ac:dyDescent="0.35">
      <c r="B7" s="33" t="s">
        <v>3</v>
      </c>
      <c r="C7" s="31">
        <v>186.76</v>
      </c>
    </row>
    <row r="8" spans="1:22" x14ac:dyDescent="0.35">
      <c r="B8" s="33" t="s">
        <v>97</v>
      </c>
      <c r="C8" s="31">
        <f>F90</f>
        <v>192.03380446807157</v>
      </c>
    </row>
    <row r="9" spans="1:22" x14ac:dyDescent="0.35">
      <c r="B9" s="33" t="s">
        <v>4</v>
      </c>
      <c r="C9" s="168">
        <f>IF(C8="","-",C8/C7-1)</f>
        <v>2.823840473373096E-2</v>
      </c>
    </row>
    <row r="10" spans="1:22" x14ac:dyDescent="0.35">
      <c r="B10" s="33" t="s">
        <v>108</v>
      </c>
      <c r="C10" s="32" t="s">
        <v>96</v>
      </c>
    </row>
    <row r="12" spans="1:22" s="1" customFormat="1" ht="16" x14ac:dyDescent="0.4">
      <c r="A12" s="3" t="s">
        <v>93</v>
      </c>
      <c r="B12" s="2" t="s">
        <v>6</v>
      </c>
    </row>
    <row r="14" spans="1:22" x14ac:dyDescent="0.35">
      <c r="C14" s="39" t="s">
        <v>100</v>
      </c>
      <c r="D14" s="40" t="s">
        <v>99</v>
      </c>
      <c r="E14" s="41" t="s">
        <v>98</v>
      </c>
      <c r="F14" s="157" t="s">
        <v>116</v>
      </c>
      <c r="G14" s="157"/>
    </row>
    <row r="15" spans="1:22" x14ac:dyDescent="0.35">
      <c r="B15" s="33" t="s">
        <v>112</v>
      </c>
      <c r="C15" s="58">
        <v>-0.02</v>
      </c>
      <c r="D15" s="59">
        <v>0.04</v>
      </c>
      <c r="E15" s="60">
        <v>7.0000000000000007E-2</v>
      </c>
      <c r="F15" s="48" t="s">
        <v>127</v>
      </c>
      <c r="N15" s="29"/>
    </row>
    <row r="16" spans="1:22" x14ac:dyDescent="0.35">
      <c r="B16" t="s">
        <v>113</v>
      </c>
      <c r="C16" s="45">
        <v>7.0000000000000007E-2</v>
      </c>
      <c r="D16" s="46">
        <v>0.13500000000000001</v>
      </c>
      <c r="E16" s="47">
        <v>0.17</v>
      </c>
      <c r="F16" s="48" t="s">
        <v>128</v>
      </c>
    </row>
    <row r="17" spans="2:7" x14ac:dyDescent="0.35">
      <c r="B17" t="s">
        <v>115</v>
      </c>
      <c r="C17" s="45">
        <v>0.32</v>
      </c>
      <c r="D17" s="46">
        <v>0.3</v>
      </c>
      <c r="E17" s="47">
        <v>0.28000000000000003</v>
      </c>
      <c r="F17" s="48" t="s">
        <v>129</v>
      </c>
    </row>
    <row r="18" spans="2:7" x14ac:dyDescent="0.35">
      <c r="B18" s="158" t="s">
        <v>117</v>
      </c>
      <c r="C18" s="158"/>
      <c r="D18" s="158"/>
      <c r="E18" s="158"/>
      <c r="F18" s="158"/>
    </row>
    <row r="19" spans="2:7" x14ac:dyDescent="0.35">
      <c r="B19" t="s">
        <v>120</v>
      </c>
      <c r="C19" s="53">
        <v>16500</v>
      </c>
      <c r="D19" s="54">
        <v>17500</v>
      </c>
      <c r="E19" s="55">
        <v>18500</v>
      </c>
      <c r="F19" s="48" t="s">
        <v>133</v>
      </c>
    </row>
    <row r="20" spans="2:7" x14ac:dyDescent="0.35">
      <c r="B20" s="6" t="s">
        <v>118</v>
      </c>
      <c r="C20" s="45">
        <v>5.0000000000000001E-3</v>
      </c>
      <c r="D20" s="46">
        <v>0.01</v>
      </c>
      <c r="E20" s="47">
        <v>1.4999999999999999E-2</v>
      </c>
      <c r="F20" s="48" t="s">
        <v>134</v>
      </c>
    </row>
    <row r="21" spans="2:7" x14ac:dyDescent="0.35">
      <c r="B21" t="s">
        <v>119</v>
      </c>
      <c r="C21" s="53">
        <v>14000</v>
      </c>
      <c r="D21" s="54">
        <v>15500</v>
      </c>
      <c r="E21" s="55">
        <v>17000</v>
      </c>
      <c r="F21" s="48" t="s">
        <v>135</v>
      </c>
    </row>
    <row r="22" spans="2:7" x14ac:dyDescent="0.35">
      <c r="B22" s="6" t="s">
        <v>121</v>
      </c>
      <c r="C22" s="42">
        <v>5.0000000000000001E-3</v>
      </c>
      <c r="D22" s="43">
        <v>1.4999999999999999E-2</v>
      </c>
      <c r="E22" s="44">
        <v>2.5000000000000001E-2</v>
      </c>
      <c r="F22" s="48" t="s">
        <v>136</v>
      </c>
    </row>
    <row r="23" spans="2:7" x14ac:dyDescent="0.35">
      <c r="B23" s="36" t="s">
        <v>109</v>
      </c>
      <c r="C23" s="148">
        <v>0.10390000000000001</v>
      </c>
      <c r="D23" s="147">
        <f>WACC!E40</f>
        <v>9.11E-2</v>
      </c>
      <c r="E23" s="146">
        <v>7.9600000000000004E-2</v>
      </c>
      <c r="F23" s="48" t="s">
        <v>290</v>
      </c>
    </row>
    <row r="24" spans="2:7" x14ac:dyDescent="0.35">
      <c r="B24" s="36" t="s">
        <v>122</v>
      </c>
      <c r="C24" s="61">
        <v>1.4999999999999999E-2</v>
      </c>
      <c r="D24" s="62">
        <v>0.02</v>
      </c>
      <c r="E24" s="63">
        <v>2.5000000000000001E-2</v>
      </c>
      <c r="F24" s="48" t="s">
        <v>130</v>
      </c>
    </row>
    <row r="26" spans="2:7" ht="16" x14ac:dyDescent="0.4">
      <c r="B26" s="2" t="s">
        <v>111</v>
      </c>
      <c r="C26" s="1"/>
      <c r="D26" s="1"/>
      <c r="E26" s="1"/>
      <c r="F26" s="1"/>
      <c r="G26" s="1"/>
    </row>
    <row r="27" spans="2:7" hidden="1" x14ac:dyDescent="0.35">
      <c r="B27" s="34" t="s">
        <v>131</v>
      </c>
      <c r="C27" s="35" t="s">
        <v>132</v>
      </c>
    </row>
    <row r="28" spans="2:7" x14ac:dyDescent="0.35">
      <c r="B28" s="33" t="s">
        <v>13</v>
      </c>
      <c r="C28" s="51">
        <f>IF($C$10="Worst",C15,IF($C$10="Best",E15,D15))</f>
        <v>0.04</v>
      </c>
    </row>
    <row r="29" spans="2:7" x14ac:dyDescent="0.35">
      <c r="B29" t="s">
        <v>114</v>
      </c>
      <c r="C29" s="49">
        <f>IF($C$10="Worst",C16,IF($C$10="Best",E16,D16))</f>
        <v>0.13500000000000001</v>
      </c>
    </row>
    <row r="30" spans="2:7" x14ac:dyDescent="0.35">
      <c r="B30" t="s">
        <v>115</v>
      </c>
      <c r="C30" s="49">
        <f>IF($C$10="Worst",C17,IF($C$10="Best",E17,D17))</f>
        <v>0.3</v>
      </c>
    </row>
    <row r="31" spans="2:7" x14ac:dyDescent="0.35">
      <c r="B31" t="s">
        <v>123</v>
      </c>
      <c r="C31" s="50">
        <f>IF($C$10="Worst",C19,IF($C$10="Best",E19,D19))</f>
        <v>17500</v>
      </c>
    </row>
    <row r="32" spans="2:7" x14ac:dyDescent="0.35">
      <c r="B32" t="s">
        <v>124</v>
      </c>
      <c r="C32" s="49">
        <f>IF($C$10="Worst",C20,IF($C$10="Best",E20,D20))</f>
        <v>0.01</v>
      </c>
    </row>
    <row r="33" spans="1:22" x14ac:dyDescent="0.35">
      <c r="B33" t="s">
        <v>125</v>
      </c>
      <c r="C33" s="50">
        <f>IF($C$10="Worst",C21,IF($C$10="Best",E21,D21))</f>
        <v>15500</v>
      </c>
    </row>
    <row r="34" spans="1:22" x14ac:dyDescent="0.35">
      <c r="B34" t="s">
        <v>126</v>
      </c>
      <c r="C34" s="49">
        <f>IF($C$10="Worst",C22,IF($C$10="Best",E22,D22))</f>
        <v>1.4999999999999999E-2</v>
      </c>
    </row>
    <row r="35" spans="1:22" x14ac:dyDescent="0.35">
      <c r="B35" s="33" t="s">
        <v>109</v>
      </c>
      <c r="C35" s="49">
        <f t="shared" ref="C35:C36" si="0">IF($C$10="Worst",C23,IF($C$10="Best",E23,D23))</f>
        <v>9.11E-2</v>
      </c>
    </row>
    <row r="36" spans="1:22" x14ac:dyDescent="0.35">
      <c r="B36" s="33" t="s">
        <v>110</v>
      </c>
      <c r="C36" s="49">
        <f t="shared" si="0"/>
        <v>0.02</v>
      </c>
    </row>
    <row r="38" spans="1:22" s="1" customFormat="1" ht="16" x14ac:dyDescent="0.4">
      <c r="A38" s="3" t="s">
        <v>93</v>
      </c>
      <c r="B38" s="2" t="s">
        <v>7</v>
      </c>
      <c r="L38" s="124"/>
    </row>
    <row r="39" spans="1:22" x14ac:dyDescent="0.35">
      <c r="L39" s="125"/>
    </row>
    <row r="40" spans="1:22" x14ac:dyDescent="0.35">
      <c r="B40" s="101" t="s">
        <v>9</v>
      </c>
      <c r="C40" s="102"/>
      <c r="D40" s="102"/>
      <c r="E40" s="102"/>
      <c r="F40" s="102"/>
      <c r="G40" s="102"/>
      <c r="H40" s="103">
        <f>'Income Statement'!B5</f>
        <v>94692</v>
      </c>
      <c r="I40" s="103">
        <f>'Income Statement'!C5</f>
        <v>162465</v>
      </c>
      <c r="J40" s="103">
        <f>'Income Statement'!D5</f>
        <v>246252</v>
      </c>
      <c r="K40" s="103">
        <f>'Income Statement'!E5</f>
        <v>200949</v>
      </c>
      <c r="L40" s="126">
        <f>'Income Statement'!F5</f>
        <v>202792</v>
      </c>
      <c r="M40" s="104">
        <f t="shared" ref="M40:V40" si="1">L40*(1+$C$28)</f>
        <v>210903.67999999999</v>
      </c>
      <c r="N40" s="104">
        <f t="shared" si="1"/>
        <v>219339.8272</v>
      </c>
      <c r="O40" s="104">
        <f t="shared" si="1"/>
        <v>228113.42028799999</v>
      </c>
      <c r="P40" s="104">
        <f t="shared" si="1"/>
        <v>237237.95709951999</v>
      </c>
      <c r="Q40" s="104">
        <f t="shared" si="1"/>
        <v>246727.4753835008</v>
      </c>
      <c r="R40" s="104">
        <f t="shared" si="1"/>
        <v>256596.57439884084</v>
      </c>
      <c r="S40" s="104">
        <f t="shared" si="1"/>
        <v>266860.43737479451</v>
      </c>
      <c r="T40" s="104">
        <f t="shared" si="1"/>
        <v>277534.8548697863</v>
      </c>
      <c r="U40" s="104">
        <f t="shared" si="1"/>
        <v>288636.24906457774</v>
      </c>
      <c r="V40" s="104">
        <f t="shared" si="1"/>
        <v>300181.69902716088</v>
      </c>
    </row>
    <row r="41" spans="1:22" x14ac:dyDescent="0.35">
      <c r="B41" s="107" t="s">
        <v>10</v>
      </c>
      <c r="C41" s="107"/>
      <c r="D41" s="107"/>
      <c r="E41" s="107"/>
      <c r="F41" s="107"/>
      <c r="G41" s="107"/>
      <c r="H41" s="149" t="s">
        <v>295</v>
      </c>
      <c r="I41" s="108">
        <f>I40/H40-1</f>
        <v>0.7157204410087441</v>
      </c>
      <c r="J41" s="108">
        <f t="shared" ref="J41:V41" si="2">J40/I40-1</f>
        <v>0.51572338657557015</v>
      </c>
      <c r="K41" s="108">
        <f t="shared" si="2"/>
        <v>-0.18397007943082699</v>
      </c>
      <c r="L41" s="127">
        <f t="shared" si="2"/>
        <v>9.1714813211312141E-3</v>
      </c>
      <c r="M41" s="108">
        <f t="shared" si="2"/>
        <v>4.0000000000000036E-2</v>
      </c>
      <c r="N41" s="108">
        <f t="shared" si="2"/>
        <v>4.0000000000000036E-2</v>
      </c>
      <c r="O41" s="108">
        <f t="shared" si="2"/>
        <v>4.0000000000000036E-2</v>
      </c>
      <c r="P41" s="108">
        <f t="shared" si="2"/>
        <v>4.0000000000000036E-2</v>
      </c>
      <c r="Q41" s="108">
        <f t="shared" si="2"/>
        <v>4.0000000000000036E-2</v>
      </c>
      <c r="R41" s="108">
        <f t="shared" si="2"/>
        <v>4.0000000000000036E-2</v>
      </c>
      <c r="S41" s="108">
        <f t="shared" si="2"/>
        <v>4.0000000000000036E-2</v>
      </c>
      <c r="T41" s="108">
        <f t="shared" si="2"/>
        <v>4.0000000000000036E-2</v>
      </c>
      <c r="U41" s="108">
        <f t="shared" si="2"/>
        <v>4.0000000000000036E-2</v>
      </c>
      <c r="V41" s="108">
        <f t="shared" si="2"/>
        <v>4.0000000000000036E-2</v>
      </c>
    </row>
    <row r="42" spans="1:22" x14ac:dyDescent="0.35">
      <c r="L42" s="125"/>
      <c r="M42" t="s">
        <v>95</v>
      </c>
    </row>
    <row r="43" spans="1:22" x14ac:dyDescent="0.35">
      <c r="B43" s="101" t="s">
        <v>11</v>
      </c>
      <c r="C43" s="102"/>
      <c r="D43" s="102"/>
      <c r="E43" s="102"/>
      <c r="F43" s="102"/>
      <c r="G43" s="102"/>
      <c r="H43" s="103">
        <f>'Income Statement'!B18</f>
        <v>-6097</v>
      </c>
      <c r="I43" s="103">
        <f>'Income Statement'!C18</f>
        <v>16180</v>
      </c>
      <c r="J43" s="103">
        <f>'Income Statement'!D18</f>
        <v>39950</v>
      </c>
      <c r="K43" s="103">
        <f>'Income Statement'!E18</f>
        <v>26229</v>
      </c>
      <c r="L43" s="126">
        <f>'Income Statement'!F18</f>
        <v>18917</v>
      </c>
      <c r="M43" s="105">
        <f t="shared" ref="M43:V43" si="3">M40*$C$29</f>
        <v>28471.996800000001</v>
      </c>
      <c r="N43" s="105">
        <f t="shared" si="3"/>
        <v>29610.876672000002</v>
      </c>
      <c r="O43" s="105">
        <f t="shared" si="3"/>
        <v>30795.311738880002</v>
      </c>
      <c r="P43" s="105">
        <f t="shared" si="3"/>
        <v>32027.124208435202</v>
      </c>
      <c r="Q43" s="105">
        <f t="shared" si="3"/>
        <v>33308.209176772609</v>
      </c>
      <c r="R43" s="105">
        <f t="shared" si="3"/>
        <v>34640.537543843515</v>
      </c>
      <c r="S43" s="105">
        <f t="shared" si="3"/>
        <v>36026.159045597262</v>
      </c>
      <c r="T43" s="105">
        <f t="shared" si="3"/>
        <v>37467.205407421156</v>
      </c>
      <c r="U43" s="105">
        <f t="shared" si="3"/>
        <v>38965.893623717995</v>
      </c>
      <c r="V43" s="105">
        <f t="shared" si="3"/>
        <v>40524.529368666721</v>
      </c>
    </row>
    <row r="44" spans="1:22" x14ac:dyDescent="0.35">
      <c r="B44" s="107" t="s">
        <v>12</v>
      </c>
      <c r="C44" s="107"/>
      <c r="D44" s="107"/>
      <c r="E44" s="107"/>
      <c r="F44" s="107"/>
      <c r="G44" s="107"/>
      <c r="H44" s="108">
        <f t="shared" ref="H44:V44" si="4">H43/H$40</f>
        <v>-6.4387699066447007E-2</v>
      </c>
      <c r="I44" s="108">
        <f t="shared" si="4"/>
        <v>9.9590681069768872E-2</v>
      </c>
      <c r="J44" s="108">
        <f t="shared" si="4"/>
        <v>0.16223218491626465</v>
      </c>
      <c r="K44" s="108">
        <f t="shared" si="4"/>
        <v>0.13052565576340266</v>
      </c>
      <c r="L44" s="127">
        <f t="shared" si="4"/>
        <v>9.3282772495956442E-2</v>
      </c>
      <c r="M44" s="108">
        <f t="shared" si="4"/>
        <v>0.13500000000000001</v>
      </c>
      <c r="N44" s="108">
        <f t="shared" si="4"/>
        <v>0.13500000000000001</v>
      </c>
      <c r="O44" s="108">
        <f t="shared" si="4"/>
        <v>0.13500000000000001</v>
      </c>
      <c r="P44" s="108">
        <f t="shared" si="4"/>
        <v>0.13500000000000001</v>
      </c>
      <c r="Q44" s="108">
        <f t="shared" si="4"/>
        <v>0.13500000000000001</v>
      </c>
      <c r="R44" s="108">
        <f t="shared" si="4"/>
        <v>0.13500000000000001</v>
      </c>
      <c r="S44" s="108">
        <f t="shared" si="4"/>
        <v>0.13500000000000001</v>
      </c>
      <c r="T44" s="108">
        <f t="shared" si="4"/>
        <v>0.13500000000000001</v>
      </c>
      <c r="U44" s="108">
        <f t="shared" si="4"/>
        <v>0.13500000000000001</v>
      </c>
      <c r="V44" s="108">
        <f t="shared" si="4"/>
        <v>0.13500000000000001</v>
      </c>
    </row>
    <row r="45" spans="1:22" x14ac:dyDescent="0.35">
      <c r="B45" s="6"/>
      <c r="H45" s="35"/>
      <c r="I45" s="35"/>
      <c r="J45" s="35"/>
      <c r="K45" s="35"/>
      <c r="L45" s="128"/>
    </row>
    <row r="46" spans="1:22" x14ac:dyDescent="0.35">
      <c r="B46" s="101" t="s">
        <v>92</v>
      </c>
      <c r="C46" s="102"/>
      <c r="D46" s="102"/>
      <c r="E46" s="102"/>
      <c r="F46" s="102"/>
      <c r="G46" s="102"/>
      <c r="H46" s="103">
        <f>'Income Statement'!B23</f>
        <v>-1892</v>
      </c>
      <c r="I46" s="103">
        <f>'Income Statement'!C23</f>
        <v>5950</v>
      </c>
      <c r="J46" s="103">
        <f>'Income Statement'!D23</f>
        <v>14066</v>
      </c>
      <c r="K46" s="103">
        <f>'Income Statement'!E23</f>
        <v>8173</v>
      </c>
      <c r="L46" s="126">
        <f>'Income Statement'!F23</f>
        <v>9757</v>
      </c>
      <c r="M46" s="105">
        <f t="shared" ref="M46:V46" si="5">M43*$C$30</f>
        <v>8541.5990399999991</v>
      </c>
      <c r="N46" s="105">
        <f t="shared" si="5"/>
        <v>8883.2630016000003</v>
      </c>
      <c r="O46" s="105">
        <f t="shared" si="5"/>
        <v>9238.5935216640009</v>
      </c>
      <c r="P46" s="105">
        <f t="shared" si="5"/>
        <v>9608.1372625305594</v>
      </c>
      <c r="Q46" s="105">
        <f t="shared" si="5"/>
        <v>9992.462753031783</v>
      </c>
      <c r="R46" s="105">
        <f t="shared" si="5"/>
        <v>10392.161263153053</v>
      </c>
      <c r="S46" s="105">
        <f t="shared" si="5"/>
        <v>10807.847713679179</v>
      </c>
      <c r="T46" s="105">
        <f t="shared" si="5"/>
        <v>11240.161622226346</v>
      </c>
      <c r="U46" s="105">
        <f t="shared" si="5"/>
        <v>11689.768087115399</v>
      </c>
      <c r="V46" s="105">
        <f t="shared" si="5"/>
        <v>12157.358810600015</v>
      </c>
    </row>
    <row r="47" spans="1:22" x14ac:dyDescent="0.35">
      <c r="B47" s="107" t="s">
        <v>94</v>
      </c>
      <c r="C47" s="107"/>
      <c r="D47" s="107"/>
      <c r="E47" s="107"/>
      <c r="F47" s="107"/>
      <c r="G47" s="107"/>
      <c r="H47" s="108">
        <f>H46/H$43</f>
        <v>0.31031654912251927</v>
      </c>
      <c r="I47" s="108">
        <f t="shared" ref="I47:L47" si="6">I46/I$43</f>
        <v>0.36773794808405441</v>
      </c>
      <c r="J47" s="108">
        <f t="shared" si="6"/>
        <v>0.35209011264080098</v>
      </c>
      <c r="K47" s="108">
        <f t="shared" si="6"/>
        <v>0.3116016622822067</v>
      </c>
      <c r="L47" s="127">
        <f t="shared" si="6"/>
        <v>0.51577945763070254</v>
      </c>
      <c r="M47" s="108">
        <f>M46/M43</f>
        <v>0.3</v>
      </c>
      <c r="N47" s="108">
        <f t="shared" ref="N47:V47" si="7">N46/N43</f>
        <v>0.3</v>
      </c>
      <c r="O47" s="108">
        <f t="shared" si="7"/>
        <v>0.3</v>
      </c>
      <c r="P47" s="108">
        <f t="shared" si="7"/>
        <v>0.3</v>
      </c>
      <c r="Q47" s="108">
        <f t="shared" si="7"/>
        <v>0.3</v>
      </c>
      <c r="R47" s="108">
        <f t="shared" si="7"/>
        <v>0.3</v>
      </c>
      <c r="S47" s="108">
        <f t="shared" si="7"/>
        <v>0.3</v>
      </c>
      <c r="T47" s="108">
        <f t="shared" si="7"/>
        <v>0.3</v>
      </c>
      <c r="U47" s="108">
        <f t="shared" si="7"/>
        <v>0.3</v>
      </c>
      <c r="V47" s="108">
        <f t="shared" si="7"/>
        <v>0.3</v>
      </c>
    </row>
    <row r="48" spans="1:22" x14ac:dyDescent="0.35">
      <c r="B48" s="6"/>
      <c r="H48" s="37"/>
      <c r="I48" s="37"/>
      <c r="J48" s="37"/>
      <c r="K48" s="37"/>
      <c r="L48" s="129"/>
    </row>
    <row r="49" spans="1:22" x14ac:dyDescent="0.35">
      <c r="B49" s="101" t="s">
        <v>105</v>
      </c>
      <c r="C49" s="102"/>
      <c r="D49" s="102"/>
      <c r="E49" s="102"/>
      <c r="F49" s="102"/>
      <c r="G49" s="102"/>
      <c r="H49" s="106">
        <f>H43-H46</f>
        <v>-4205</v>
      </c>
      <c r="I49" s="106">
        <f t="shared" ref="I49:L49" si="8">I43-I46</f>
        <v>10230</v>
      </c>
      <c r="J49" s="106">
        <f t="shared" si="8"/>
        <v>25884</v>
      </c>
      <c r="K49" s="106">
        <f t="shared" si="8"/>
        <v>18056</v>
      </c>
      <c r="L49" s="130">
        <f t="shared" si="8"/>
        <v>9160</v>
      </c>
      <c r="M49" s="105">
        <f>M43-M46</f>
        <v>19930.39776</v>
      </c>
      <c r="N49" s="105">
        <f t="shared" ref="N49:V49" si="9">N43-N46</f>
        <v>20727.613670400002</v>
      </c>
      <c r="O49" s="105">
        <f t="shared" si="9"/>
        <v>21556.718217216003</v>
      </c>
      <c r="P49" s="105">
        <f t="shared" si="9"/>
        <v>22418.986945904642</v>
      </c>
      <c r="Q49" s="105">
        <f t="shared" si="9"/>
        <v>23315.746423740828</v>
      </c>
      <c r="R49" s="105">
        <f t="shared" si="9"/>
        <v>24248.376280690463</v>
      </c>
      <c r="S49" s="105">
        <f t="shared" si="9"/>
        <v>25218.311331918085</v>
      </c>
      <c r="T49" s="105">
        <f t="shared" si="9"/>
        <v>26227.043785194808</v>
      </c>
      <c r="U49" s="105">
        <f t="shared" si="9"/>
        <v>27276.125536602594</v>
      </c>
      <c r="V49" s="105">
        <f t="shared" si="9"/>
        <v>28367.170558066704</v>
      </c>
    </row>
    <row r="50" spans="1:22" x14ac:dyDescent="0.35">
      <c r="B50" s="107" t="s">
        <v>12</v>
      </c>
      <c r="C50" s="107"/>
      <c r="D50" s="107"/>
      <c r="E50" s="107"/>
      <c r="F50" s="107"/>
      <c r="G50" s="107"/>
      <c r="H50" s="108">
        <f t="shared" ref="H50:M50" si="10">H49/H$40</f>
        <v>-4.4407130486207917E-2</v>
      </c>
      <c r="I50" s="108">
        <f t="shared" si="10"/>
        <v>6.2967408364878588E-2</v>
      </c>
      <c r="J50" s="108">
        <f t="shared" si="10"/>
        <v>0.10511183665513377</v>
      </c>
      <c r="K50" s="108">
        <f t="shared" si="10"/>
        <v>8.9853644457051296E-2</v>
      </c>
      <c r="L50" s="127">
        <f t="shared" si="10"/>
        <v>4.5169434691703814E-2</v>
      </c>
      <c r="M50" s="108">
        <f t="shared" si="10"/>
        <v>9.4500000000000001E-2</v>
      </c>
      <c r="N50" s="108">
        <f t="shared" ref="N50:V50" si="11">N49/N$40</f>
        <v>9.4500000000000015E-2</v>
      </c>
      <c r="O50" s="108">
        <f t="shared" si="11"/>
        <v>9.4500000000000015E-2</v>
      </c>
      <c r="P50" s="108">
        <f t="shared" si="11"/>
        <v>9.4500000000000015E-2</v>
      </c>
      <c r="Q50" s="108">
        <f t="shared" si="11"/>
        <v>9.4500000000000001E-2</v>
      </c>
      <c r="R50" s="108">
        <f t="shared" si="11"/>
        <v>9.4500000000000015E-2</v>
      </c>
      <c r="S50" s="108">
        <f t="shared" si="11"/>
        <v>9.4500000000000015E-2</v>
      </c>
      <c r="T50" s="108">
        <f t="shared" si="11"/>
        <v>9.4500000000000015E-2</v>
      </c>
      <c r="U50" s="108">
        <f t="shared" si="11"/>
        <v>9.4499999999999987E-2</v>
      </c>
      <c r="V50" s="108">
        <f t="shared" si="11"/>
        <v>9.4500000000000001E-2</v>
      </c>
    </row>
    <row r="51" spans="1:22" x14ac:dyDescent="0.35">
      <c r="B51" s="6"/>
      <c r="H51" s="57"/>
      <c r="I51" s="57"/>
      <c r="J51" s="57"/>
      <c r="K51" s="57"/>
      <c r="L51" s="131"/>
    </row>
    <row r="52" spans="1:22" x14ac:dyDescent="0.35">
      <c r="L52" s="125"/>
    </row>
    <row r="53" spans="1:22" s="1" customFormat="1" ht="16" x14ac:dyDescent="0.4">
      <c r="A53" s="3" t="s">
        <v>93</v>
      </c>
      <c r="B53" s="2" t="s">
        <v>8</v>
      </c>
      <c r="L53" s="124"/>
    </row>
    <row r="54" spans="1:22" x14ac:dyDescent="0.35">
      <c r="L54" s="125"/>
    </row>
    <row r="55" spans="1:22" x14ac:dyDescent="0.35">
      <c r="B55" s="101" t="s">
        <v>101</v>
      </c>
      <c r="C55" s="102"/>
      <c r="D55" s="102"/>
      <c r="E55" s="102"/>
      <c r="F55" s="102"/>
      <c r="G55" s="102"/>
      <c r="H55" s="103">
        <f>'Cash Flow Statement'!B6</f>
        <v>19508</v>
      </c>
      <c r="I55" s="103">
        <f>'Cash Flow Statement'!C6</f>
        <v>17925</v>
      </c>
      <c r="J55" s="103">
        <f>'Cash Flow Statement'!D6</f>
        <v>16319</v>
      </c>
      <c r="K55" s="103">
        <f>'Cash Flow Statement'!E6</f>
        <v>17326</v>
      </c>
      <c r="L55" s="126">
        <f>'Cash Flow Statement'!F6</f>
        <v>17282</v>
      </c>
      <c r="M55" s="104">
        <f>$C$31*(1+$C$32)^1</f>
        <v>17675</v>
      </c>
      <c r="N55" s="104">
        <f>$C$31*(1+$C$32)^2</f>
        <v>17851.75</v>
      </c>
      <c r="O55" s="104">
        <f>$C$31*(1+$C$32)^3</f>
        <v>18030.267499999998</v>
      </c>
      <c r="P55" s="104">
        <f>$C$31*(1+$C$32)^4</f>
        <v>18210.570175000001</v>
      </c>
      <c r="Q55" s="104">
        <f>$C$31*(1+$C$32)^5</f>
        <v>18392.67587675</v>
      </c>
      <c r="R55" s="104">
        <f>$C$31*(1+$C$32)^6</f>
        <v>18576.602635517502</v>
      </c>
      <c r="S55" s="104">
        <f>$C$31*(1+$C$32)^7</f>
        <v>18762.368661872672</v>
      </c>
      <c r="T55" s="104">
        <f>$C$31*(1+$C$32)^8</f>
        <v>18949.992348491403</v>
      </c>
      <c r="U55" s="104">
        <f>$C$31*(1+$C$32)^9</f>
        <v>19139.49227197632</v>
      </c>
      <c r="V55" s="104">
        <f>$C$31*(1+$C$32)^10</f>
        <v>19330.887194696083</v>
      </c>
    </row>
    <row r="56" spans="1:22" x14ac:dyDescent="0.35">
      <c r="B56" s="109" t="s">
        <v>12</v>
      </c>
      <c r="C56" s="110"/>
      <c r="D56" s="110"/>
      <c r="E56" s="110"/>
      <c r="F56" s="110"/>
      <c r="G56" s="110"/>
      <c r="H56" s="108">
        <f t="shared" ref="H56:V56" si="12">H55/H$40</f>
        <v>0.20601529168250748</v>
      </c>
      <c r="I56" s="108">
        <f t="shared" si="12"/>
        <v>0.11033145600590896</v>
      </c>
      <c r="J56" s="108">
        <f t="shared" si="12"/>
        <v>6.6269512531877919E-2</v>
      </c>
      <c r="K56" s="108">
        <f t="shared" si="12"/>
        <v>8.6220881915311839E-2</v>
      </c>
      <c r="L56" s="127">
        <f t="shared" si="12"/>
        <v>8.5220324273146866E-2</v>
      </c>
      <c r="M56" s="108">
        <f t="shared" si="12"/>
        <v>8.38060293684776E-2</v>
      </c>
      <c r="N56" s="108">
        <f t="shared" si="12"/>
        <v>8.1388547752079196E-2</v>
      </c>
      <c r="O56" s="108">
        <f t="shared" si="12"/>
        <v>7.9040801182307677E-2</v>
      </c>
      <c r="P56" s="108">
        <f t="shared" si="12"/>
        <v>7.6760778071279581E-2</v>
      </c>
      <c r="Q56" s="108">
        <f t="shared" si="12"/>
        <v>7.4546524857684968E-2</v>
      </c>
      <c r="R56" s="108">
        <f t="shared" si="12"/>
        <v>7.2396144332944071E-2</v>
      </c>
      <c r="S56" s="108">
        <f t="shared" si="12"/>
        <v>7.0307794015647573E-2</v>
      </c>
      <c r="T56" s="108">
        <f t="shared" si="12"/>
        <v>6.8279684572888522E-2</v>
      </c>
      <c r="U56" s="108">
        <f t="shared" si="12"/>
        <v>6.6310078287132132E-2</v>
      </c>
      <c r="V56" s="108">
        <f t="shared" si="12"/>
        <v>6.4397287567311015E-2</v>
      </c>
    </row>
    <row r="57" spans="1:22" x14ac:dyDescent="0.35">
      <c r="L57" s="125"/>
      <c r="P57" t="s">
        <v>95</v>
      </c>
    </row>
    <row r="58" spans="1:22" x14ac:dyDescent="0.35">
      <c r="B58" s="101" t="s">
        <v>102</v>
      </c>
      <c r="C58" s="101"/>
      <c r="D58" s="101"/>
      <c r="E58" s="101"/>
      <c r="F58" s="101"/>
      <c r="G58" s="101"/>
      <c r="H58" s="103">
        <f>'Cash Flow Statement'!B18</f>
        <v>-8922</v>
      </c>
      <c r="I58" s="103">
        <f>'Cash Flow Statement'!C18</f>
        <v>-8056</v>
      </c>
      <c r="J58" s="103">
        <f>'Cash Flow Statement'!D18</f>
        <v>-11974</v>
      </c>
      <c r="K58" s="103">
        <f>'Cash Flow Statement'!E18</f>
        <v>-15829</v>
      </c>
      <c r="L58" s="126">
        <f>'Cash Flow Statement'!F18</f>
        <v>-16448</v>
      </c>
      <c r="M58" s="104">
        <f>$C$33*(1+$C$34)^1</f>
        <v>15732.499999999998</v>
      </c>
      <c r="N58" s="104">
        <f>$C$33*(1+$C$34)^2</f>
        <v>15968.487499999996</v>
      </c>
      <c r="O58" s="104">
        <f>$C$33*(1+$C$34)^3</f>
        <v>16208.014812499994</v>
      </c>
      <c r="P58" s="104">
        <f>$C$33*(1+$C$34)^4</f>
        <v>16451.13503468749</v>
      </c>
      <c r="Q58" s="104">
        <f>$C$33*(1+$C$34)^5</f>
        <v>16697.902060207802</v>
      </c>
      <c r="R58" s="104">
        <f>$C$33*(1+$C$34)^6</f>
        <v>16948.370591110914</v>
      </c>
      <c r="S58" s="104">
        <f>$C$33*(1+$C$34)^7</f>
        <v>17202.596149977577</v>
      </c>
      <c r="T58" s="104">
        <f>$C$33*(1+$C$34)^8</f>
        <v>17460.63509222724</v>
      </c>
      <c r="U58" s="104">
        <f>$C$33*(1+$C$34)^9</f>
        <v>17722.544618610646</v>
      </c>
      <c r="V58" s="104">
        <f>$C$33*(1+$C$34)^10</f>
        <v>17988.382787889801</v>
      </c>
    </row>
    <row r="59" spans="1:22" x14ac:dyDescent="0.35">
      <c r="B59" s="109" t="s">
        <v>12</v>
      </c>
      <c r="C59" s="110"/>
      <c r="D59" s="110"/>
      <c r="E59" s="110"/>
      <c r="F59" s="110"/>
      <c r="G59" s="110"/>
      <c r="H59" s="108">
        <f t="shared" ref="H59:V59" si="13">H58/H$40</f>
        <v>-9.4221264731973134E-2</v>
      </c>
      <c r="I59" s="108">
        <f t="shared" si="13"/>
        <v>-4.9586064690856489E-2</v>
      </c>
      <c r="J59" s="108">
        <f t="shared" si="13"/>
        <v>-4.8624985786917464E-2</v>
      </c>
      <c r="K59" s="108">
        <f t="shared" si="13"/>
        <v>-7.8771230511224241E-2</v>
      </c>
      <c r="L59" s="127">
        <f t="shared" si="13"/>
        <v>-8.1107736005365097E-2</v>
      </c>
      <c r="M59" s="108">
        <f t="shared" si="13"/>
        <v>7.4595663764615197E-2</v>
      </c>
      <c r="N59" s="108">
        <f t="shared" si="13"/>
        <v>7.2802498770273477E-2</v>
      </c>
      <c r="O59" s="108">
        <f t="shared" si="13"/>
        <v>7.105243870368036E-2</v>
      </c>
      <c r="P59" s="108">
        <f t="shared" si="13"/>
        <v>6.9344447388688016E-2</v>
      </c>
      <c r="Q59" s="108">
        <f t="shared" si="13"/>
        <v>6.7677513557229174E-2</v>
      </c>
      <c r="R59" s="108">
        <f t="shared" si="13"/>
        <v>6.6050650250564988E-2</v>
      </c>
      <c r="S59" s="108">
        <f t="shared" si="13"/>
        <v>6.4462894234926391E-2</v>
      </c>
      <c r="T59" s="108">
        <f t="shared" si="13"/>
        <v>6.2913305431202202E-2</v>
      </c>
      <c r="U59" s="108">
        <f t="shared" si="13"/>
        <v>6.140096635833675E-2</v>
      </c>
      <c r="V59" s="108">
        <f t="shared" si="13"/>
        <v>5.9924981590107486E-2</v>
      </c>
    </row>
    <row r="60" spans="1:22" x14ac:dyDescent="0.35">
      <c r="L60" s="125"/>
    </row>
    <row r="61" spans="1:22" x14ac:dyDescent="0.35">
      <c r="B61" s="101" t="s">
        <v>103</v>
      </c>
      <c r="C61" s="101"/>
      <c r="D61" s="101"/>
      <c r="E61" s="101"/>
      <c r="F61" s="101"/>
      <c r="G61" s="101"/>
      <c r="H61" s="103">
        <f>'Cash Flow Statement'!B10</f>
        <v>-1652</v>
      </c>
      <c r="I61" s="103">
        <f>'Cash Flow Statement'!C10</f>
        <v>-1361</v>
      </c>
      <c r="J61" s="103">
        <f>'Cash Flow Statement'!D10</f>
        <v>2125</v>
      </c>
      <c r="K61" s="103">
        <f>'Cash Flow Statement'!E10</f>
        <v>-3185</v>
      </c>
      <c r="L61" s="126">
        <f>'Cash Flow Statement'!F10</f>
        <v>1211</v>
      </c>
      <c r="M61" s="105">
        <f t="shared" ref="M61:V61" si="14">M40*M62</f>
        <v>-1141.9172955943482</v>
      </c>
      <c r="N61" s="105">
        <f t="shared" si="14"/>
        <v>-1187.5939874181222</v>
      </c>
      <c r="O61" s="105">
        <f t="shared" si="14"/>
        <v>-1235.097746914847</v>
      </c>
      <c r="P61" s="105">
        <f t="shared" si="14"/>
        <v>-1284.5016567914408</v>
      </c>
      <c r="Q61" s="105">
        <f t="shared" si="14"/>
        <v>-1335.8817230630987</v>
      </c>
      <c r="R61" s="105">
        <f t="shared" si="14"/>
        <v>-1389.3169919856225</v>
      </c>
      <c r="S61" s="105">
        <f t="shared" si="14"/>
        <v>-1444.8896716650477</v>
      </c>
      <c r="T61" s="105">
        <f t="shared" si="14"/>
        <v>-1502.6852585316497</v>
      </c>
      <c r="U61" s="105">
        <f t="shared" si="14"/>
        <v>-1562.7926688729156</v>
      </c>
      <c r="V61" s="105">
        <f t="shared" si="14"/>
        <v>-1625.3043756278323</v>
      </c>
    </row>
    <row r="62" spans="1:22" x14ac:dyDescent="0.35">
      <c r="B62" s="109" t="s">
        <v>12</v>
      </c>
      <c r="C62" s="110"/>
      <c r="D62" s="110"/>
      <c r="E62" s="110"/>
      <c r="F62" s="110"/>
      <c r="G62" s="110"/>
      <c r="H62" s="108">
        <f>H61/H$40</f>
        <v>-1.7446035567946605E-2</v>
      </c>
      <c r="I62" s="108">
        <f t="shared" ref="I62:L62" si="15">I61/I$40</f>
        <v>-8.3771889330009532E-3</v>
      </c>
      <c r="J62" s="108">
        <f t="shared" si="15"/>
        <v>8.6293715380991835E-3</v>
      </c>
      <c r="K62" s="108">
        <f t="shared" si="15"/>
        <v>-1.584979273347964E-2</v>
      </c>
      <c r="L62" s="127">
        <f t="shared" si="15"/>
        <v>5.9716359619708861E-3</v>
      </c>
      <c r="M62" s="111">
        <f>AVERAGE($H$62:$L$62)</f>
        <v>-5.414401946871426E-3</v>
      </c>
      <c r="N62" s="111">
        <f t="shared" ref="N62:V62" si="16">AVERAGE($H$62:$L$62)</f>
        <v>-5.414401946871426E-3</v>
      </c>
      <c r="O62" s="111">
        <f t="shared" si="16"/>
        <v>-5.414401946871426E-3</v>
      </c>
      <c r="P62" s="111">
        <f t="shared" si="16"/>
        <v>-5.414401946871426E-3</v>
      </c>
      <c r="Q62" s="111">
        <f t="shared" si="16"/>
        <v>-5.414401946871426E-3</v>
      </c>
      <c r="R62" s="111">
        <f t="shared" si="16"/>
        <v>-5.414401946871426E-3</v>
      </c>
      <c r="S62" s="111">
        <f t="shared" si="16"/>
        <v>-5.414401946871426E-3</v>
      </c>
      <c r="T62" s="111">
        <f t="shared" si="16"/>
        <v>-5.414401946871426E-3</v>
      </c>
      <c r="U62" s="111">
        <f t="shared" si="16"/>
        <v>-5.414401946871426E-3</v>
      </c>
      <c r="V62" s="111">
        <f t="shared" si="16"/>
        <v>-5.414401946871426E-3</v>
      </c>
    </row>
    <row r="63" spans="1:22" x14ac:dyDescent="0.35">
      <c r="L63" s="125"/>
    </row>
    <row r="64" spans="1:22" x14ac:dyDescent="0.35">
      <c r="L64" s="125"/>
    </row>
    <row r="65" spans="1:22" s="1" customFormat="1" ht="16" x14ac:dyDescent="0.4">
      <c r="A65" s="3" t="s">
        <v>93</v>
      </c>
      <c r="B65" s="2" t="s">
        <v>104</v>
      </c>
      <c r="L65" s="124"/>
    </row>
    <row r="66" spans="1:22" x14ac:dyDescent="0.35">
      <c r="B66" t="s">
        <v>95</v>
      </c>
      <c r="L66" s="125"/>
    </row>
    <row r="67" spans="1:22" x14ac:dyDescent="0.35">
      <c r="B67" s="133" t="s">
        <v>105</v>
      </c>
      <c r="C67" s="134"/>
      <c r="D67" s="134"/>
      <c r="E67" s="134"/>
      <c r="F67" s="134"/>
      <c r="G67" s="134"/>
      <c r="H67" s="135"/>
      <c r="I67" s="135"/>
      <c r="J67" s="135"/>
      <c r="K67" s="135"/>
      <c r="L67" s="136"/>
      <c r="M67" s="105">
        <f t="shared" ref="M67:V67" si="17">M49</f>
        <v>19930.39776</v>
      </c>
      <c r="N67" s="105">
        <f t="shared" si="17"/>
        <v>20727.613670400002</v>
      </c>
      <c r="O67" s="105">
        <f t="shared" si="17"/>
        <v>21556.718217216003</v>
      </c>
      <c r="P67" s="105">
        <f t="shared" si="17"/>
        <v>22418.986945904642</v>
      </c>
      <c r="Q67" s="105">
        <f t="shared" si="17"/>
        <v>23315.746423740828</v>
      </c>
      <c r="R67" s="105">
        <f t="shared" si="17"/>
        <v>24248.376280690463</v>
      </c>
      <c r="S67" s="105">
        <f t="shared" si="17"/>
        <v>25218.311331918085</v>
      </c>
      <c r="T67" s="105">
        <f t="shared" si="17"/>
        <v>26227.043785194808</v>
      </c>
      <c r="U67" s="105">
        <f t="shared" si="17"/>
        <v>27276.125536602594</v>
      </c>
      <c r="V67" s="105">
        <f t="shared" si="17"/>
        <v>28367.170558066704</v>
      </c>
    </row>
    <row r="68" spans="1:22" x14ac:dyDescent="0.35">
      <c r="B68" s="30" t="s">
        <v>106</v>
      </c>
      <c r="H68" s="38"/>
      <c r="I68" s="38"/>
      <c r="J68" s="38"/>
      <c r="K68" s="38"/>
      <c r="L68" s="132"/>
      <c r="M68" s="38">
        <f t="shared" ref="M68:V68" si="18">M55</f>
        <v>17675</v>
      </c>
      <c r="N68" s="38">
        <f t="shared" si="18"/>
        <v>17851.75</v>
      </c>
      <c r="O68" s="38">
        <f t="shared" si="18"/>
        <v>18030.267499999998</v>
      </c>
      <c r="P68" s="38">
        <f t="shared" si="18"/>
        <v>18210.570175000001</v>
      </c>
      <c r="Q68" s="38">
        <f t="shared" si="18"/>
        <v>18392.67587675</v>
      </c>
      <c r="R68" s="38">
        <f t="shared" si="18"/>
        <v>18576.602635517502</v>
      </c>
      <c r="S68" s="38">
        <f t="shared" si="18"/>
        <v>18762.368661872672</v>
      </c>
      <c r="T68" s="38">
        <f t="shared" si="18"/>
        <v>18949.992348491403</v>
      </c>
      <c r="U68" s="38">
        <f t="shared" si="18"/>
        <v>19139.49227197632</v>
      </c>
      <c r="V68" s="38">
        <f t="shared" si="18"/>
        <v>19330.887194696083</v>
      </c>
    </row>
    <row r="69" spans="1:22" x14ac:dyDescent="0.35">
      <c r="B69" s="30" t="s">
        <v>102</v>
      </c>
      <c r="H69" s="38"/>
      <c r="I69" s="38"/>
      <c r="J69" s="38"/>
      <c r="K69" s="38"/>
      <c r="L69" s="132"/>
      <c r="M69" s="38">
        <f t="shared" ref="M69:V69" si="19">M58</f>
        <v>15732.499999999998</v>
      </c>
      <c r="N69" s="38">
        <f t="shared" si="19"/>
        <v>15968.487499999996</v>
      </c>
      <c r="O69" s="38">
        <f t="shared" si="19"/>
        <v>16208.014812499994</v>
      </c>
      <c r="P69" s="38">
        <f t="shared" si="19"/>
        <v>16451.13503468749</v>
      </c>
      <c r="Q69" s="38">
        <f t="shared" si="19"/>
        <v>16697.902060207802</v>
      </c>
      <c r="R69" s="38">
        <f t="shared" si="19"/>
        <v>16948.370591110914</v>
      </c>
      <c r="S69" s="38">
        <f t="shared" si="19"/>
        <v>17202.596149977577</v>
      </c>
      <c r="T69" s="38">
        <f t="shared" si="19"/>
        <v>17460.63509222724</v>
      </c>
      <c r="U69" s="38">
        <f t="shared" si="19"/>
        <v>17722.544618610646</v>
      </c>
      <c r="V69" s="38">
        <f t="shared" si="19"/>
        <v>17988.382787889801</v>
      </c>
    </row>
    <row r="70" spans="1:22" x14ac:dyDescent="0.35">
      <c r="B70" s="30" t="s">
        <v>107</v>
      </c>
      <c r="H70" s="38"/>
      <c r="I70" s="38"/>
      <c r="J70" s="38"/>
      <c r="K70" s="38"/>
      <c r="L70" s="132"/>
      <c r="M70" s="38">
        <f t="shared" ref="M70:V70" si="20">M61</f>
        <v>-1141.9172955943482</v>
      </c>
      <c r="N70" s="38">
        <f t="shared" si="20"/>
        <v>-1187.5939874181222</v>
      </c>
      <c r="O70" s="38">
        <f t="shared" si="20"/>
        <v>-1235.097746914847</v>
      </c>
      <c r="P70" s="38">
        <f t="shared" si="20"/>
        <v>-1284.5016567914408</v>
      </c>
      <c r="Q70" s="38">
        <f t="shared" si="20"/>
        <v>-1335.8817230630987</v>
      </c>
      <c r="R70" s="38">
        <f t="shared" si="20"/>
        <v>-1389.3169919856225</v>
      </c>
      <c r="S70" s="38">
        <f t="shared" si="20"/>
        <v>-1444.8896716650477</v>
      </c>
      <c r="T70" s="38">
        <f t="shared" si="20"/>
        <v>-1502.6852585316497</v>
      </c>
      <c r="U70" s="38">
        <f t="shared" si="20"/>
        <v>-1562.7926688729156</v>
      </c>
      <c r="V70" s="38">
        <f t="shared" si="20"/>
        <v>-1625.3043756278323</v>
      </c>
    </row>
    <row r="71" spans="1:22" x14ac:dyDescent="0.35">
      <c r="L71" s="125"/>
    </row>
    <row r="72" spans="1:22" ht="15" thickBot="1" x14ac:dyDescent="0.4">
      <c r="B72" s="137" t="s">
        <v>276</v>
      </c>
      <c r="C72" s="138"/>
      <c r="D72" s="138"/>
      <c r="E72" s="138"/>
      <c r="F72" s="138"/>
      <c r="G72" s="138"/>
      <c r="H72" s="138"/>
      <c r="I72" s="138"/>
      <c r="J72" s="138"/>
      <c r="K72" s="138"/>
      <c r="L72" s="139"/>
      <c r="M72" s="140">
        <f>M67+M68-M69-M70</f>
        <v>23014.815055594347</v>
      </c>
      <c r="N72" s="140">
        <f t="shared" ref="N72:V72" si="21">N67+N68-N69-N70</f>
        <v>23798.470157818127</v>
      </c>
      <c r="O72" s="140">
        <f t="shared" si="21"/>
        <v>24614.068651630849</v>
      </c>
      <c r="P72" s="140">
        <f t="shared" si="21"/>
        <v>25462.9237430086</v>
      </c>
      <c r="Q72" s="140">
        <f t="shared" si="21"/>
        <v>26346.401963346125</v>
      </c>
      <c r="R72" s="140">
        <f t="shared" si="21"/>
        <v>27265.925317082678</v>
      </c>
      <c r="S72" s="140">
        <f t="shared" si="21"/>
        <v>28222.973515478228</v>
      </c>
      <c r="T72" s="140">
        <f t="shared" si="21"/>
        <v>29219.08629999062</v>
      </c>
      <c r="U72" s="140">
        <f t="shared" si="21"/>
        <v>30255.865858841185</v>
      </c>
      <c r="V72" s="140">
        <f t="shared" si="21"/>
        <v>31334.97934050082</v>
      </c>
    </row>
    <row r="73" spans="1:22" ht="15" thickTop="1" x14ac:dyDescent="0.35">
      <c r="L73" s="125"/>
    </row>
    <row r="74" spans="1:22" x14ac:dyDescent="0.35">
      <c r="B74" t="s">
        <v>277</v>
      </c>
      <c r="L74" s="125"/>
      <c r="M74">
        <v>1</v>
      </c>
      <c r="N74">
        <f>M74+1</f>
        <v>2</v>
      </c>
      <c r="O74">
        <f t="shared" ref="O74:V74" si="22">N74+1</f>
        <v>3</v>
      </c>
      <c r="P74">
        <f t="shared" si="22"/>
        <v>4</v>
      </c>
      <c r="Q74">
        <f t="shared" si="22"/>
        <v>5</v>
      </c>
      <c r="R74">
        <f t="shared" si="22"/>
        <v>6</v>
      </c>
      <c r="S74">
        <f t="shared" si="22"/>
        <v>7</v>
      </c>
      <c r="T74">
        <f t="shared" si="22"/>
        <v>8</v>
      </c>
      <c r="U74">
        <f t="shared" si="22"/>
        <v>9</v>
      </c>
      <c r="V74">
        <f t="shared" si="22"/>
        <v>10</v>
      </c>
    </row>
    <row r="75" spans="1:22" x14ac:dyDescent="0.35">
      <c r="B75" t="s">
        <v>278</v>
      </c>
      <c r="L75" s="125"/>
      <c r="M75" s="118">
        <f>1/(1+$C$35)^M74</f>
        <v>0.91650627806800478</v>
      </c>
      <c r="N75" s="118">
        <f t="shared" ref="N75:V75" si="23">1/(1+$C$35)^N74</f>
        <v>0.83998375773806699</v>
      </c>
      <c r="O75" s="118">
        <f t="shared" si="23"/>
        <v>0.76985038744209244</v>
      </c>
      <c r="P75" s="118">
        <f t="shared" si="23"/>
        <v>0.70557271326376358</v>
      </c>
      <c r="Q75" s="118">
        <f t="shared" si="23"/>
        <v>0.64666182133971561</v>
      </c>
      <c r="R75" s="118">
        <f t="shared" si="23"/>
        <v>0.5926696190447398</v>
      </c>
      <c r="S75" s="118">
        <f t="shared" si="23"/>
        <v>0.54318542667467684</v>
      </c>
      <c r="T75" s="118">
        <f t="shared" si="23"/>
        <v>0.49783285370238922</v>
      </c>
      <c r="U75" s="118">
        <f t="shared" si="23"/>
        <v>0.45626693584675032</v>
      </c>
      <c r="V75" s="118">
        <f t="shared" si="23"/>
        <v>0.41817151117839824</v>
      </c>
    </row>
    <row r="76" spans="1:22" ht="15" thickBot="1" x14ac:dyDescent="0.4">
      <c r="B76" s="141" t="s">
        <v>279</v>
      </c>
      <c r="C76" s="138"/>
      <c r="D76" s="138"/>
      <c r="E76" s="138"/>
      <c r="F76" s="138"/>
      <c r="G76" s="138"/>
      <c r="H76" s="138"/>
      <c r="I76" s="138"/>
      <c r="J76" s="138"/>
      <c r="K76" s="138"/>
      <c r="L76" s="139"/>
      <c r="M76" s="142">
        <f>M72*M75</f>
        <v>21093.222487026254</v>
      </c>
      <c r="N76" s="142">
        <f t="shared" ref="N76:V76" si="24">N72*N75</f>
        <v>19990.328391581319</v>
      </c>
      <c r="O76" s="142">
        <f t="shared" si="24"/>
        <v>18949.15028798427</v>
      </c>
      <c r="P76" s="142">
        <f t="shared" si="24"/>
        <v>17965.944192982883</v>
      </c>
      <c r="Q76" s="142">
        <f t="shared" si="24"/>
        <v>17037.212279365664</v>
      </c>
      <c r="R76" s="142">
        <f t="shared" si="24"/>
        <v>16159.685570577716</v>
      </c>
      <c r="S76" s="142">
        <f t="shared" si="24"/>
        <v>15330.307911033146</v>
      </c>
      <c r="T76" s="142">
        <f t="shared" si="24"/>
        <v>14546.221115300716</v>
      </c>
      <c r="U76" s="142">
        <f t="shared" si="24"/>
        <v>13804.751206803774</v>
      </c>
      <c r="V76" s="142">
        <f t="shared" si="24"/>
        <v>13103.395663561116</v>
      </c>
    </row>
    <row r="77" spans="1:22" ht="15" thickTop="1" x14ac:dyDescent="0.35"/>
    <row r="79" spans="1:22" x14ac:dyDescent="0.35">
      <c r="B79" s="101" t="s">
        <v>280</v>
      </c>
      <c r="C79" s="101"/>
      <c r="D79" s="101"/>
      <c r="E79" s="101"/>
      <c r="F79" s="159">
        <f>V72*(1+$C$36)/($C$35-$C$36)</f>
        <v>449531.34918861941</v>
      </c>
      <c r="G79" s="160"/>
      <c r="H79" s="150"/>
      <c r="I79" s="150"/>
    </row>
    <row r="80" spans="1:22" x14ac:dyDescent="0.35">
      <c r="B80" t="s">
        <v>281</v>
      </c>
      <c r="F80" s="153">
        <f>F79*V75</f>
        <v>187981.20361226919</v>
      </c>
      <c r="G80" s="154"/>
    </row>
    <row r="82" spans="2:7" x14ac:dyDescent="0.35">
      <c r="B82" t="s">
        <v>282</v>
      </c>
      <c r="F82" s="155">
        <f>SUM(M76:V76)</f>
        <v>167980.21910621686</v>
      </c>
      <c r="G82" s="156"/>
    </row>
    <row r="83" spans="2:7" ht="15" thickBot="1" x14ac:dyDescent="0.4">
      <c r="B83" s="120" t="s">
        <v>283</v>
      </c>
      <c r="C83" s="121"/>
      <c r="D83" s="121"/>
      <c r="E83" s="121"/>
      <c r="F83" s="151">
        <f>F80+F82</f>
        <v>355961.42271848605</v>
      </c>
      <c r="G83" s="152"/>
    </row>
    <row r="84" spans="2:7" ht="15" thickTop="1" x14ac:dyDescent="0.35"/>
    <row r="85" spans="2:7" x14ac:dyDescent="0.35">
      <c r="B85" s="30" t="s">
        <v>285</v>
      </c>
      <c r="F85" s="153">
        <f>'Balance Sheet'!G32+'Balance Sheet'!G37+'Balance Sheet'!G38-'Balance Sheet'!G7</f>
        <v>6064</v>
      </c>
      <c r="G85" s="154"/>
    </row>
    <row r="86" spans="2:7" x14ac:dyDescent="0.35">
      <c r="B86" s="30" t="s">
        <v>286</v>
      </c>
      <c r="F86" s="155">
        <f>'Balance Sheet'!G51</f>
        <v>972</v>
      </c>
      <c r="G86" s="156"/>
    </row>
    <row r="87" spans="2:7" ht="15" thickBot="1" x14ac:dyDescent="0.4">
      <c r="B87" s="120" t="s">
        <v>287</v>
      </c>
      <c r="C87" s="120"/>
      <c r="D87" s="120"/>
      <c r="E87" s="120"/>
      <c r="F87" s="151">
        <f>F83-F85-F86</f>
        <v>348925.42271848605</v>
      </c>
      <c r="G87" s="152"/>
    </row>
    <row r="88" spans="2:7" ht="15" thickTop="1" x14ac:dyDescent="0.35"/>
    <row r="89" spans="2:7" x14ac:dyDescent="0.35">
      <c r="B89" t="s">
        <v>288</v>
      </c>
      <c r="F89" s="156">
        <f>'Income Statement'!F31</f>
        <v>1817</v>
      </c>
      <c r="G89" s="156"/>
    </row>
    <row r="90" spans="2:7" ht="15" thickBot="1" x14ac:dyDescent="0.4">
      <c r="B90" s="120" t="s">
        <v>289</v>
      </c>
      <c r="C90" s="120"/>
      <c r="D90" s="120"/>
      <c r="E90" s="120"/>
      <c r="F90" s="151">
        <f>IFERROR(F87/F89,"-")</f>
        <v>192.03380446807157</v>
      </c>
      <c r="G90" s="151"/>
    </row>
    <row r="91" spans="2:7" ht="15" thickTop="1" x14ac:dyDescent="0.35"/>
  </sheetData>
  <mergeCells count="12">
    <mergeCell ref="F14:G14"/>
    <mergeCell ref="B18:F18"/>
    <mergeCell ref="F90:G90"/>
    <mergeCell ref="F82:G82"/>
    <mergeCell ref="F80:G80"/>
    <mergeCell ref="F79:G79"/>
    <mergeCell ref="F89:G89"/>
    <mergeCell ref="H79:I79"/>
    <mergeCell ref="F83:G83"/>
    <mergeCell ref="F85:G85"/>
    <mergeCell ref="F86:G86"/>
    <mergeCell ref="F87:G87"/>
  </mergeCells>
  <conditionalFormatting sqref="C10">
    <cfRule type="containsText" dxfId="5" priority="1" operator="containsText" text="Worst">
      <formula>NOT(ISERROR(SEARCH("Worst",C10)))</formula>
    </cfRule>
    <cfRule type="containsText" dxfId="4" priority="2" operator="containsText" text="Base">
      <formula>NOT(ISERROR(SEARCH("Base",C10)))</formula>
    </cfRule>
    <cfRule type="containsText" dxfId="3" priority="3" operator="containsText" text="Worst, Base, Best">
      <formula>NOT(ISERROR(SEARCH("Worst, Base, Best",C10)))</formula>
    </cfRule>
    <cfRule type="containsText" dxfId="2" priority="4" operator="containsText" text="Best">
      <formula>NOT(ISERROR(SEARCH("Best",C10)))</formula>
    </cfRule>
    <cfRule type="containsText" dxfId="1" priority="5" operator="containsText" text="Worst">
      <formula>NOT(ISERROR(SEARCH("Worst",C10)))</formula>
    </cfRule>
    <cfRule type="containsText" dxfId="0" priority="6" operator="containsText" text="Base">
      <formula>NOT(ISERROR(SEARCH("Base",C10)))</formula>
    </cfRule>
  </conditionalFormatting>
  <dataValidations count="1">
    <dataValidation type="list" allowBlank="1" showInputMessage="1" showErrorMessage="1" sqref="C10" xr:uid="{A07F768D-406A-4D2D-8BEA-4314D5005150}">
      <formula1>"Worst, Base, Best"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3BF6-E344-4352-B0FA-1B0BD79B03BF}">
  <dimension ref="A2:M51"/>
  <sheetViews>
    <sheetView showGridLines="0" zoomScale="85" zoomScaleNormal="85" workbookViewId="0">
      <pane xSplit="1" ySplit="2" topLeftCell="B31" activePane="bottomRight" state="frozen"/>
      <selection pane="topRight" activeCell="B1" sqref="B1"/>
      <selection pane="bottomLeft" activeCell="A3" sqref="A3"/>
      <selection pane="bottomRight" activeCell="J47" sqref="J47"/>
    </sheetView>
  </sheetViews>
  <sheetFormatPr defaultRowHeight="14.5" x14ac:dyDescent="0.35"/>
  <cols>
    <col min="1" max="1" width="2.6328125" customWidth="1"/>
    <col min="2" max="2" width="36.453125" customWidth="1"/>
    <col min="3" max="3" width="12.6328125" customWidth="1"/>
    <col min="4" max="4" width="11" customWidth="1"/>
    <col min="5" max="7" width="10.54296875" customWidth="1"/>
  </cols>
  <sheetData>
    <row r="2" spans="1:7" s="4" customFormat="1" ht="21" x14ac:dyDescent="0.5">
      <c r="A2"/>
      <c r="B2" s="64" t="s">
        <v>137</v>
      </c>
    </row>
    <row r="4" spans="1:7" ht="16" x14ac:dyDescent="0.4">
      <c r="A4" s="3" t="s">
        <v>93</v>
      </c>
      <c r="B4" s="2" t="s">
        <v>138</v>
      </c>
      <c r="C4" s="1"/>
      <c r="D4" s="1"/>
      <c r="E4" s="1"/>
    </row>
    <row r="5" spans="1:7" hidden="1" x14ac:dyDescent="0.35">
      <c r="B5" s="66" t="s">
        <v>131</v>
      </c>
      <c r="C5" s="52" t="s">
        <v>132</v>
      </c>
      <c r="D5" s="33" t="s">
        <v>154</v>
      </c>
      <c r="E5" s="52" t="s">
        <v>155</v>
      </c>
    </row>
    <row r="6" spans="1:7" x14ac:dyDescent="0.35">
      <c r="B6" s="66" t="s">
        <v>139</v>
      </c>
      <c r="C6" s="52" t="s">
        <v>142</v>
      </c>
      <c r="D6" s="33" t="s">
        <v>145</v>
      </c>
      <c r="E6" s="52" t="s">
        <v>143</v>
      </c>
    </row>
    <row r="7" spans="1:7" x14ac:dyDescent="0.35">
      <c r="B7" t="s">
        <v>140</v>
      </c>
      <c r="C7" s="68">
        <v>4.2999999999999997E-2</v>
      </c>
      <c r="D7" s="80" t="s">
        <v>148</v>
      </c>
      <c r="E7" s="65" t="s">
        <v>144</v>
      </c>
    </row>
    <row r="8" spans="1:7" x14ac:dyDescent="0.35">
      <c r="B8" t="s">
        <v>141</v>
      </c>
      <c r="C8" s="69">
        <v>0.95</v>
      </c>
      <c r="D8" s="80" t="s">
        <v>146</v>
      </c>
      <c r="E8" s="65" t="s">
        <v>149</v>
      </c>
    </row>
    <row r="9" spans="1:7" x14ac:dyDescent="0.35">
      <c r="B9" t="s">
        <v>153</v>
      </c>
      <c r="C9" s="68">
        <v>5.5E-2</v>
      </c>
      <c r="D9" s="80" t="s">
        <v>147</v>
      </c>
      <c r="E9" s="65" t="s">
        <v>150</v>
      </c>
    </row>
    <row r="10" spans="1:7" x14ac:dyDescent="0.35">
      <c r="C10" s="68"/>
      <c r="D10" s="67"/>
      <c r="E10" s="70"/>
    </row>
    <row r="11" spans="1:7" x14ac:dyDescent="0.35">
      <c r="B11" s="71" t="s">
        <v>151</v>
      </c>
      <c r="C11" s="79">
        <f>C7+(C8*C9)</f>
        <v>9.5250000000000001E-2</v>
      </c>
      <c r="D11" s="72" t="s">
        <v>152</v>
      </c>
    </row>
    <row r="13" spans="1:7" ht="16.5" thickBot="1" x14ac:dyDescent="0.45">
      <c r="A13" s="3" t="s">
        <v>93</v>
      </c>
      <c r="B13" s="2" t="s">
        <v>156</v>
      </c>
      <c r="C13" s="1"/>
      <c r="D13" s="1"/>
      <c r="E13" s="1"/>
      <c r="F13" s="1"/>
      <c r="G13" s="1"/>
    </row>
    <row r="14" spans="1:7" ht="15" hidden="1" thickBot="1" x14ac:dyDescent="0.4">
      <c r="B14" s="76" t="s">
        <v>131</v>
      </c>
      <c r="C14" s="77" t="s">
        <v>132</v>
      </c>
      <c r="D14" s="78" t="s">
        <v>154</v>
      </c>
      <c r="E14" s="77" t="s">
        <v>155</v>
      </c>
    </row>
    <row r="15" spans="1:7" x14ac:dyDescent="0.35">
      <c r="B15" s="73" t="s">
        <v>139</v>
      </c>
      <c r="C15" s="74" t="s">
        <v>142</v>
      </c>
      <c r="D15" s="75" t="s">
        <v>145</v>
      </c>
      <c r="E15" s="74" t="s">
        <v>143</v>
      </c>
    </row>
    <row r="16" spans="1:7" x14ac:dyDescent="0.35">
      <c r="B16" t="s">
        <v>157</v>
      </c>
      <c r="C16" s="68">
        <v>4.4999999999999998E-2</v>
      </c>
      <c r="D16" s="80" t="s">
        <v>158</v>
      </c>
      <c r="E16" s="65" t="s">
        <v>163</v>
      </c>
    </row>
    <row r="17" spans="1:7" x14ac:dyDescent="0.35">
      <c r="B17" t="s">
        <v>159</v>
      </c>
      <c r="C17" s="68">
        <f>IF('DCF Model'!$C$10="Worst",'DCF Model'!C17,IF('DCF Model'!$C$10="Best",'DCF Model'!E17,'DCF Model'!D17))</f>
        <v>0.3</v>
      </c>
      <c r="D17" s="80" t="s">
        <v>160</v>
      </c>
      <c r="E17" s="70" t="s">
        <v>164</v>
      </c>
    </row>
    <row r="19" spans="1:7" x14ac:dyDescent="0.35">
      <c r="B19" s="71" t="s">
        <v>161</v>
      </c>
      <c r="C19" s="79">
        <f>C16*(1-C17)</f>
        <v>3.15E-2</v>
      </c>
      <c r="D19" s="72" t="s">
        <v>162</v>
      </c>
    </row>
    <row r="21" spans="1:7" ht="16.5" thickBot="1" x14ac:dyDescent="0.45">
      <c r="A21" s="3" t="s">
        <v>93</v>
      </c>
      <c r="B21" s="2" t="s">
        <v>247</v>
      </c>
      <c r="C21" s="1"/>
      <c r="D21" s="1"/>
      <c r="E21" s="1"/>
      <c r="F21" s="1"/>
      <c r="G21" s="1"/>
    </row>
    <row r="22" spans="1:7" ht="15" hidden="1" thickBot="1" x14ac:dyDescent="0.4">
      <c r="B22" s="76" t="s">
        <v>131</v>
      </c>
      <c r="C22" s="77" t="s">
        <v>132</v>
      </c>
      <c r="D22" s="77" t="s">
        <v>154</v>
      </c>
      <c r="E22" s="77" t="s">
        <v>155</v>
      </c>
    </row>
    <row r="23" spans="1:7" x14ac:dyDescent="0.35">
      <c r="B23" s="73" t="s">
        <v>139</v>
      </c>
      <c r="C23" s="74" t="s">
        <v>248</v>
      </c>
      <c r="D23" s="74" t="s">
        <v>249</v>
      </c>
      <c r="E23" s="74" t="s">
        <v>143</v>
      </c>
    </row>
    <row r="24" spans="1:7" x14ac:dyDescent="0.35">
      <c r="B24" t="s">
        <v>251</v>
      </c>
      <c r="C24" s="117">
        <v>339422</v>
      </c>
      <c r="E24" s="65" t="s">
        <v>250</v>
      </c>
    </row>
    <row r="25" spans="1:7" x14ac:dyDescent="0.35">
      <c r="B25" t="s">
        <v>252</v>
      </c>
      <c r="C25" s="117">
        <f>'Balance Sheet'!G32+'Balance Sheet'!G37+'Balance Sheet'!G38</f>
        <v>23742</v>
      </c>
      <c r="D25" s="113" t="s">
        <v>253</v>
      </c>
      <c r="E25" s="65" t="s">
        <v>254</v>
      </c>
    </row>
    <row r="26" spans="1:7" x14ac:dyDescent="0.35">
      <c r="B26" s="114" t="s">
        <v>255</v>
      </c>
      <c r="C26" s="115">
        <f>'Balance Sheet'!G52</f>
        <v>160242</v>
      </c>
      <c r="D26" s="113" t="s">
        <v>256</v>
      </c>
      <c r="E26" s="65" t="s">
        <v>257</v>
      </c>
    </row>
    <row r="27" spans="1:7" x14ac:dyDescent="0.35">
      <c r="B27" t="s">
        <v>258</v>
      </c>
      <c r="C27" s="116">
        <f>C24+C25</f>
        <v>363164</v>
      </c>
      <c r="E27" s="65"/>
    </row>
    <row r="28" spans="1:7" x14ac:dyDescent="0.35">
      <c r="B28" t="s">
        <v>262</v>
      </c>
      <c r="C28" s="49">
        <f>C24/$C$27</f>
        <v>0.93462457732594639</v>
      </c>
      <c r="E28" s="65" t="s">
        <v>259</v>
      </c>
    </row>
    <row r="29" spans="1:7" x14ac:dyDescent="0.35">
      <c r="B29" t="s">
        <v>263</v>
      </c>
      <c r="C29" s="49">
        <f>C25/$C$27</f>
        <v>6.5375422674053593E-2</v>
      </c>
      <c r="E29" s="65" t="s">
        <v>260</v>
      </c>
    </row>
    <row r="31" spans="1:7" ht="16" x14ac:dyDescent="0.4">
      <c r="A31" s="3" t="s">
        <v>93</v>
      </c>
      <c r="B31" s="2" t="s">
        <v>109</v>
      </c>
      <c r="C31" s="1"/>
      <c r="D31" s="1"/>
      <c r="E31" s="1"/>
      <c r="F31" s="1"/>
      <c r="G31" s="1"/>
    </row>
    <row r="33" spans="1:13" x14ac:dyDescent="0.35">
      <c r="B33" s="71" t="s">
        <v>109</v>
      </c>
      <c r="C33" s="79">
        <f>C28*C11+C29*C19</f>
        <v>9.1082316804529079E-2</v>
      </c>
      <c r="D33" s="72" t="s">
        <v>261</v>
      </c>
      <c r="E33" s="65" t="s">
        <v>293</v>
      </c>
    </row>
    <row r="35" spans="1:13" ht="16" x14ac:dyDescent="0.4">
      <c r="A35" s="3" t="s">
        <v>93</v>
      </c>
      <c r="B35" s="2" t="s">
        <v>264</v>
      </c>
      <c r="C35" s="1"/>
      <c r="D35" s="1"/>
      <c r="E35" s="1"/>
      <c r="F35" s="1"/>
      <c r="G35" s="1"/>
    </row>
    <row r="36" spans="1:13" hidden="1" x14ac:dyDescent="0.35">
      <c r="B36" s="52" t="s">
        <v>131</v>
      </c>
      <c r="C36" s="33" t="s">
        <v>132</v>
      </c>
      <c r="D36" s="33" t="s">
        <v>154</v>
      </c>
      <c r="E36" s="33" t="s">
        <v>155</v>
      </c>
      <c r="F36" s="33" t="s">
        <v>291</v>
      </c>
      <c r="G36" s="33" t="s">
        <v>292</v>
      </c>
    </row>
    <row r="37" spans="1:13" x14ac:dyDescent="0.35">
      <c r="B37" s="52" t="s">
        <v>265</v>
      </c>
      <c r="C37" s="33" t="s">
        <v>271</v>
      </c>
      <c r="D37" s="33" t="s">
        <v>272</v>
      </c>
      <c r="E37" s="33" t="s">
        <v>273</v>
      </c>
      <c r="F37" s="33" t="s">
        <v>274</v>
      </c>
      <c r="G37" s="33" t="s">
        <v>275</v>
      </c>
    </row>
    <row r="38" spans="1:13" x14ac:dyDescent="0.35">
      <c r="B38" s="113" t="s">
        <v>266</v>
      </c>
      <c r="C38" s="122">
        <v>7.5899999999999995E-2</v>
      </c>
      <c r="D38" s="122">
        <v>8.0100000000000005E-2</v>
      </c>
      <c r="E38" s="122">
        <v>8.2199999999999995E-2</v>
      </c>
      <c r="F38" s="122">
        <v>8.43E-2</v>
      </c>
      <c r="G38" s="122">
        <v>8.8499999999999995E-2</v>
      </c>
    </row>
    <row r="39" spans="1:13" x14ac:dyDescent="0.35">
      <c r="B39" s="113" t="s">
        <v>267</v>
      </c>
      <c r="C39" s="122">
        <v>7.9600000000000004E-2</v>
      </c>
      <c r="D39" s="122">
        <v>8.43E-2</v>
      </c>
      <c r="E39" s="122">
        <v>8.6599999999999996E-2</v>
      </c>
      <c r="F39" s="122">
        <v>8.8999999999999996E-2</v>
      </c>
      <c r="G39" s="122">
        <v>9.3700000000000006E-2</v>
      </c>
    </row>
    <row r="40" spans="1:13" x14ac:dyDescent="0.35">
      <c r="B40" s="113" t="s">
        <v>268</v>
      </c>
      <c r="C40" s="122">
        <v>8.3400000000000002E-2</v>
      </c>
      <c r="D40" s="122">
        <v>8.8499999999999995E-2</v>
      </c>
      <c r="E40" s="123">
        <v>9.11E-2</v>
      </c>
      <c r="F40" s="122">
        <v>9.3700000000000006E-2</v>
      </c>
      <c r="G40" s="122">
        <v>9.8799999999999999E-2</v>
      </c>
    </row>
    <row r="41" spans="1:13" x14ac:dyDescent="0.35">
      <c r="B41" s="113" t="s">
        <v>269</v>
      </c>
      <c r="C41" s="122">
        <v>8.7099999999999997E-2</v>
      </c>
      <c r="D41" s="122">
        <v>9.2700000000000005E-2</v>
      </c>
      <c r="E41" s="122">
        <v>9.5500000000000002E-2</v>
      </c>
      <c r="F41" s="122">
        <v>9.8299999999999998E-2</v>
      </c>
      <c r="G41" s="122">
        <v>0.10390000000000001</v>
      </c>
    </row>
    <row r="42" spans="1:13" x14ac:dyDescent="0.35">
      <c r="B42" s="113" t="s">
        <v>270</v>
      </c>
      <c r="C42" s="122">
        <v>9.0800000000000006E-2</v>
      </c>
      <c r="D42" s="122">
        <v>9.69E-2</v>
      </c>
      <c r="E42" s="122">
        <v>0.1</v>
      </c>
      <c r="F42" s="122">
        <v>0.10299999999999999</v>
      </c>
      <c r="G42" s="122">
        <v>0.1091</v>
      </c>
    </row>
    <row r="43" spans="1:13" x14ac:dyDescent="0.35">
      <c r="B43" s="113"/>
      <c r="C43" s="122"/>
      <c r="D43" s="122"/>
      <c r="E43" s="122"/>
      <c r="F43" s="122"/>
      <c r="G43" s="122"/>
    </row>
    <row r="44" spans="1:13" x14ac:dyDescent="0.35">
      <c r="B44" s="70" t="s">
        <v>294</v>
      </c>
    </row>
    <row r="46" spans="1:13" x14ac:dyDescent="0.35">
      <c r="B46" s="52"/>
      <c r="C46" s="33"/>
      <c r="D46" s="33"/>
      <c r="E46" s="33"/>
      <c r="F46" s="33"/>
      <c r="G46" s="33"/>
    </row>
    <row r="47" spans="1:13" x14ac:dyDescent="0.35">
      <c r="B47" s="144"/>
      <c r="C47" s="122"/>
      <c r="D47" s="122"/>
      <c r="E47" s="122"/>
      <c r="F47" s="122"/>
      <c r="G47" s="122"/>
      <c r="I47" s="143"/>
      <c r="J47" s="143"/>
      <c r="K47" s="143"/>
      <c r="L47" s="143"/>
      <c r="M47" s="143"/>
    </row>
    <row r="48" spans="1:13" x14ac:dyDescent="0.35">
      <c r="B48" s="144"/>
      <c r="C48" s="122"/>
      <c r="D48" s="122"/>
      <c r="E48" s="122"/>
      <c r="F48" s="122"/>
      <c r="G48" s="122"/>
    </row>
    <row r="49" spans="2:7" x14ac:dyDescent="0.35">
      <c r="B49" s="144"/>
      <c r="C49" s="122"/>
      <c r="D49" s="122"/>
      <c r="E49" s="145"/>
      <c r="F49" s="122"/>
      <c r="G49" s="122"/>
    </row>
    <row r="50" spans="2:7" x14ac:dyDescent="0.35">
      <c r="B50" s="144"/>
      <c r="C50" s="122"/>
      <c r="D50" s="122"/>
      <c r="E50" s="122"/>
      <c r="F50" s="122"/>
      <c r="G50" s="122"/>
    </row>
    <row r="51" spans="2:7" x14ac:dyDescent="0.35">
      <c r="B51" s="144"/>
      <c r="C51" s="122"/>
      <c r="D51" s="122"/>
      <c r="E51" s="122"/>
      <c r="F51" s="122"/>
      <c r="G51" s="122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C4B4-8307-44F7-9D35-C2B4A96BC581}">
  <sheetPr>
    <tabColor theme="5" tint="0.59999389629810485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9425-0731-42D7-8952-1758D1BB5307}">
  <dimension ref="A1:G41"/>
  <sheetViews>
    <sheetView showGridLines="0" zoomScale="58" zoomScaleNormal="58" workbookViewId="0">
      <selection activeCell="R14" sqref="R14"/>
    </sheetView>
  </sheetViews>
  <sheetFormatPr defaultColWidth="8.6328125" defaultRowHeight="14.5" x14ac:dyDescent="0.35"/>
  <cols>
    <col min="1" max="1" width="38" style="10" customWidth="1"/>
    <col min="2" max="6" width="16" style="10" customWidth="1"/>
    <col min="7" max="16384" width="8.6328125" style="10"/>
  </cols>
  <sheetData>
    <row r="1" spans="1:7" ht="27.75" customHeight="1" x14ac:dyDescent="0.35">
      <c r="A1" s="162" t="s">
        <v>16</v>
      </c>
      <c r="B1" s="162"/>
      <c r="C1" s="162"/>
      <c r="D1" s="162"/>
      <c r="E1" s="162"/>
      <c r="F1" s="162"/>
      <c r="G1" s="162"/>
    </row>
    <row r="2" spans="1:7" ht="15.75" customHeight="1" x14ac:dyDescent="0.35">
      <c r="A2" s="163" t="s">
        <v>17</v>
      </c>
      <c r="B2" s="163"/>
      <c r="C2" s="163"/>
      <c r="D2" s="163"/>
      <c r="E2" s="163"/>
      <c r="F2" s="163"/>
      <c r="G2" s="163"/>
    </row>
    <row r="3" spans="1:7" ht="19.5" customHeight="1" x14ac:dyDescent="0.35">
      <c r="A3" s="11" t="s">
        <v>18</v>
      </c>
      <c r="B3" s="12" t="s">
        <v>19</v>
      </c>
      <c r="C3" s="12" t="s">
        <v>20</v>
      </c>
      <c r="D3" s="12" t="s">
        <v>21</v>
      </c>
      <c r="E3" s="12" t="s">
        <v>22</v>
      </c>
      <c r="F3" s="12" t="s">
        <v>23</v>
      </c>
    </row>
    <row r="4" spans="1:7" ht="18" customHeight="1" x14ac:dyDescent="0.35">
      <c r="A4" s="161" t="s">
        <v>24</v>
      </c>
      <c r="B4" s="161"/>
      <c r="C4" s="161"/>
      <c r="D4" s="161"/>
      <c r="E4" s="161"/>
      <c r="F4" s="161"/>
      <c r="G4" s="161"/>
    </row>
    <row r="5" spans="1:7" ht="15.75" customHeight="1" x14ac:dyDescent="0.35">
      <c r="A5" s="13" t="s">
        <v>25</v>
      </c>
      <c r="B5" s="14">
        <v>94692</v>
      </c>
      <c r="C5" s="14">
        <v>162465</v>
      </c>
      <c r="D5" s="14">
        <v>246252</v>
      </c>
      <c r="E5" s="14">
        <v>200949</v>
      </c>
      <c r="F5" s="14">
        <v>202792</v>
      </c>
    </row>
    <row r="6" spans="1:7" ht="6" customHeight="1" x14ac:dyDescent="0.35"/>
    <row r="7" spans="1:7" ht="18" customHeight="1" x14ac:dyDescent="0.35">
      <c r="A7" s="161" t="s">
        <v>26</v>
      </c>
      <c r="B7" s="161"/>
      <c r="C7" s="161"/>
      <c r="D7" s="161"/>
      <c r="E7" s="161"/>
      <c r="F7" s="161"/>
      <c r="G7" s="161"/>
    </row>
    <row r="8" spans="1:7" ht="15.75" customHeight="1" x14ac:dyDescent="0.35">
      <c r="A8" s="15" t="s">
        <v>27</v>
      </c>
      <c r="B8" s="16">
        <v>11067</v>
      </c>
      <c r="C8" s="16">
        <v>11718</v>
      </c>
      <c r="D8" s="16">
        <v>12742</v>
      </c>
      <c r="E8" s="16">
        <v>12842</v>
      </c>
      <c r="F8" s="16">
        <v>13387</v>
      </c>
    </row>
    <row r="9" spans="1:7" ht="15.75" customHeight="1" x14ac:dyDescent="0.35">
      <c r="A9" s="17" t="s">
        <v>28</v>
      </c>
      <c r="B9" s="18">
        <v>52148</v>
      </c>
      <c r="C9" s="18">
        <v>92249</v>
      </c>
      <c r="D9" s="18">
        <v>145416</v>
      </c>
      <c r="E9" s="18">
        <v>119196</v>
      </c>
      <c r="F9" s="18">
        <v>119206</v>
      </c>
    </row>
    <row r="10" spans="1:7" ht="15.75" customHeight="1" x14ac:dyDescent="0.35">
      <c r="A10" s="15" t="s">
        <v>29</v>
      </c>
      <c r="B10" s="16">
        <v>20323</v>
      </c>
      <c r="C10" s="16">
        <v>20726</v>
      </c>
      <c r="D10" s="16">
        <v>24714</v>
      </c>
      <c r="E10" s="16">
        <v>24887</v>
      </c>
      <c r="F10" s="16">
        <v>27464</v>
      </c>
    </row>
    <row r="11" spans="1:7" ht="15.75" customHeight="1" x14ac:dyDescent="0.35">
      <c r="A11" s="17" t="s">
        <v>30</v>
      </c>
      <c r="B11" s="18">
        <v>4213</v>
      </c>
      <c r="C11" s="18">
        <v>4014</v>
      </c>
      <c r="D11" s="18">
        <v>4312</v>
      </c>
      <c r="E11" s="18">
        <v>4141</v>
      </c>
      <c r="F11" s="18">
        <v>4834</v>
      </c>
    </row>
    <row r="12" spans="1:7" ht="15.75" customHeight="1" x14ac:dyDescent="0.35">
      <c r="A12" s="15" t="s">
        <v>31</v>
      </c>
      <c r="B12" s="16">
        <v>19508</v>
      </c>
      <c r="C12" s="16">
        <v>17925</v>
      </c>
      <c r="D12" s="16">
        <v>16319</v>
      </c>
      <c r="E12" s="16">
        <v>17326</v>
      </c>
      <c r="F12" s="16">
        <v>17282</v>
      </c>
    </row>
    <row r="13" spans="1:7" ht="15.75" customHeight="1" x14ac:dyDescent="0.35">
      <c r="A13" s="17" t="s">
        <v>14</v>
      </c>
      <c r="B13" s="18">
        <v>1537</v>
      </c>
      <c r="C13" s="18">
        <v>538</v>
      </c>
      <c r="D13" s="18">
        <v>960</v>
      </c>
      <c r="E13" s="18">
        <v>934</v>
      </c>
      <c r="F13" s="18">
        <v>1068</v>
      </c>
    </row>
    <row r="14" spans="1:7" ht="15.75" customHeight="1" x14ac:dyDescent="0.35">
      <c r="A14" s="15" t="s">
        <v>32</v>
      </c>
      <c r="B14" s="16">
        <v>2839</v>
      </c>
      <c r="C14" s="16">
        <v>3963</v>
      </c>
      <c r="D14" s="16">
        <v>4032</v>
      </c>
      <c r="E14" s="16">
        <v>4220</v>
      </c>
      <c r="F14" s="16">
        <v>4716</v>
      </c>
    </row>
    <row r="15" spans="1:7" ht="15.75" customHeight="1" x14ac:dyDescent="0.35">
      <c r="A15" s="13" t="s">
        <v>33</v>
      </c>
      <c r="B15" s="14">
        <v>102145</v>
      </c>
      <c r="C15" s="14">
        <v>140826</v>
      </c>
      <c r="D15" s="14">
        <v>196578</v>
      </c>
      <c r="E15" s="14">
        <v>171365</v>
      </c>
      <c r="F15" s="14">
        <v>175286</v>
      </c>
    </row>
    <row r="16" spans="1:7" ht="6" customHeight="1" x14ac:dyDescent="0.35"/>
    <row r="17" spans="1:7" ht="18" customHeight="1" x14ac:dyDescent="0.35">
      <c r="A17" s="161" t="s">
        <v>34</v>
      </c>
      <c r="B17" s="161"/>
      <c r="C17" s="161"/>
      <c r="D17" s="161"/>
      <c r="E17" s="161"/>
      <c r="F17" s="161"/>
      <c r="G17" s="161"/>
    </row>
    <row r="18" spans="1:7" ht="15.75" customHeight="1" x14ac:dyDescent="0.35">
      <c r="A18" s="13" t="s">
        <v>35</v>
      </c>
      <c r="B18" s="14">
        <v>-6097</v>
      </c>
      <c r="C18" s="14">
        <v>16180</v>
      </c>
      <c r="D18" s="14">
        <v>39950</v>
      </c>
      <c r="E18" s="14">
        <v>26229</v>
      </c>
      <c r="F18" s="14">
        <v>18917</v>
      </c>
    </row>
    <row r="19" spans="1:7" ht="15.75" customHeight="1" x14ac:dyDescent="0.35">
      <c r="A19" s="17" t="s">
        <v>36</v>
      </c>
      <c r="B19" s="18">
        <v>697</v>
      </c>
      <c r="C19" s="18">
        <v>712</v>
      </c>
      <c r="D19" s="18">
        <v>516</v>
      </c>
      <c r="E19" s="18">
        <v>469</v>
      </c>
      <c r="F19" s="18">
        <v>594</v>
      </c>
    </row>
    <row r="20" spans="1:7" ht="15.75" customHeight="1" x14ac:dyDescent="0.35">
      <c r="A20" s="15" t="s">
        <v>37</v>
      </c>
      <c r="B20" s="16">
        <v>-693</v>
      </c>
      <c r="C20" s="16">
        <v>-1202</v>
      </c>
      <c r="D20" s="16">
        <v>-1950</v>
      </c>
      <c r="E20" s="16">
        <v>1038</v>
      </c>
      <c r="F20" s="16">
        <v>-1784</v>
      </c>
    </row>
    <row r="21" spans="1:7" ht="15.75" customHeight="1" x14ac:dyDescent="0.35">
      <c r="A21" s="17" t="s">
        <v>38</v>
      </c>
      <c r="B21" s="18">
        <v>-472</v>
      </c>
      <c r="C21" s="18">
        <v>5657</v>
      </c>
      <c r="D21" s="18">
        <v>8585</v>
      </c>
      <c r="E21" s="18">
        <v>5131</v>
      </c>
      <c r="F21" s="18">
        <v>4596</v>
      </c>
    </row>
    <row r="22" spans="1:7" ht="15.75" customHeight="1" x14ac:dyDescent="0.35">
      <c r="A22" s="13" t="s">
        <v>39</v>
      </c>
      <c r="B22" s="14">
        <v>-7453</v>
      </c>
      <c r="C22" s="14">
        <v>21639</v>
      </c>
      <c r="D22" s="14">
        <v>49674</v>
      </c>
      <c r="E22" s="14">
        <v>29584</v>
      </c>
      <c r="F22" s="14">
        <v>27506</v>
      </c>
    </row>
    <row r="23" spans="1:7" ht="15.75" customHeight="1" x14ac:dyDescent="0.35">
      <c r="A23" s="17" t="s">
        <v>40</v>
      </c>
      <c r="B23" s="18">
        <v>-1892</v>
      </c>
      <c r="C23" s="18">
        <v>5950</v>
      </c>
      <c r="D23" s="18">
        <v>14066</v>
      </c>
      <c r="E23" s="18">
        <v>8173</v>
      </c>
      <c r="F23" s="18">
        <v>9757</v>
      </c>
    </row>
    <row r="24" spans="1:7" ht="15.75" customHeight="1" x14ac:dyDescent="0.35">
      <c r="A24" s="15" t="s">
        <v>41</v>
      </c>
      <c r="B24" s="19">
        <v>25.4</v>
      </c>
      <c r="C24" s="19">
        <v>27.5</v>
      </c>
      <c r="D24" s="19">
        <v>28.32</v>
      </c>
      <c r="E24" s="19">
        <v>27.63</v>
      </c>
      <c r="F24" s="19">
        <v>35.47</v>
      </c>
    </row>
    <row r="25" spans="1:7" ht="15.75" customHeight="1" x14ac:dyDescent="0.35">
      <c r="A25" s="17" t="s">
        <v>42</v>
      </c>
      <c r="B25" s="18">
        <v>-18</v>
      </c>
      <c r="C25" s="18">
        <v>64</v>
      </c>
      <c r="D25" s="18">
        <v>143</v>
      </c>
      <c r="E25" s="18">
        <v>42</v>
      </c>
      <c r="F25" s="18">
        <v>88</v>
      </c>
    </row>
    <row r="26" spans="1:7" ht="15.75" customHeight="1" x14ac:dyDescent="0.35">
      <c r="A26" s="13" t="s">
        <v>43</v>
      </c>
      <c r="B26" s="14">
        <v>-5543</v>
      </c>
      <c r="C26" s="14">
        <v>15689</v>
      </c>
      <c r="D26" s="14">
        <v>35465</v>
      </c>
      <c r="E26" s="14">
        <v>21369</v>
      </c>
      <c r="F26" s="14">
        <v>17661</v>
      </c>
    </row>
    <row r="27" spans="1:7" ht="15.75" customHeight="1" x14ac:dyDescent="0.35">
      <c r="A27" s="13" t="s">
        <v>44</v>
      </c>
      <c r="B27" s="14">
        <v>-368</v>
      </c>
      <c r="C27" s="14">
        <v>15608</v>
      </c>
      <c r="D27" s="14">
        <v>36542</v>
      </c>
      <c r="E27" s="14">
        <v>24693</v>
      </c>
      <c r="F27" s="14">
        <v>18256</v>
      </c>
    </row>
    <row r="28" spans="1:7" ht="6" customHeight="1" x14ac:dyDescent="0.35"/>
    <row r="29" spans="1:7" ht="18" customHeight="1" x14ac:dyDescent="0.35">
      <c r="A29" s="161" t="s">
        <v>45</v>
      </c>
      <c r="B29" s="161"/>
      <c r="C29" s="161"/>
      <c r="D29" s="161"/>
      <c r="E29" s="161"/>
      <c r="F29" s="161"/>
      <c r="G29" s="161"/>
    </row>
    <row r="30" spans="1:7" ht="15.75" customHeight="1" x14ac:dyDescent="0.35">
      <c r="A30" s="15" t="s">
        <v>46</v>
      </c>
      <c r="B30" s="20">
        <v>1870</v>
      </c>
      <c r="C30" s="20">
        <v>1916</v>
      </c>
      <c r="D30" s="20">
        <v>1931</v>
      </c>
      <c r="E30" s="20">
        <v>1873</v>
      </c>
      <c r="F30" s="20">
        <v>1810</v>
      </c>
    </row>
    <row r="31" spans="1:7" ht="15.75" customHeight="1" x14ac:dyDescent="0.35">
      <c r="A31" s="17" t="s">
        <v>47</v>
      </c>
      <c r="B31" s="21">
        <v>1870</v>
      </c>
      <c r="C31" s="21">
        <v>1920</v>
      </c>
      <c r="D31" s="21">
        <v>1940</v>
      </c>
      <c r="E31" s="21">
        <v>1880</v>
      </c>
      <c r="F31" s="21">
        <v>1817</v>
      </c>
    </row>
    <row r="32" spans="1:7" ht="15.75" customHeight="1" x14ac:dyDescent="0.35">
      <c r="A32" s="15" t="s">
        <v>48</v>
      </c>
      <c r="B32" s="22">
        <v>-2.96</v>
      </c>
      <c r="C32" s="22">
        <v>8.14</v>
      </c>
      <c r="D32" s="22">
        <v>18.28</v>
      </c>
      <c r="E32" s="22">
        <v>11.36</v>
      </c>
      <c r="F32" s="22">
        <v>9.7200000000000006</v>
      </c>
    </row>
    <row r="33" spans="1:7" ht="15.75" customHeight="1" x14ac:dyDescent="0.35">
      <c r="A33" s="17" t="s">
        <v>49</v>
      </c>
      <c r="B33" s="23">
        <v>5.16</v>
      </c>
      <c r="C33" s="23">
        <v>5.31</v>
      </c>
      <c r="D33" s="23">
        <v>5.68</v>
      </c>
      <c r="E33" s="23">
        <v>6.04</v>
      </c>
      <c r="F33" s="23">
        <v>6.52</v>
      </c>
    </row>
    <row r="34" spans="1:7" ht="6" customHeight="1" x14ac:dyDescent="0.35"/>
    <row r="35" spans="1:7" ht="18" customHeight="1" x14ac:dyDescent="0.35">
      <c r="A35" s="161" t="s">
        <v>50</v>
      </c>
      <c r="B35" s="161"/>
      <c r="C35" s="161"/>
      <c r="D35" s="161"/>
      <c r="E35" s="161"/>
      <c r="F35" s="161"/>
      <c r="G35" s="161"/>
    </row>
    <row r="36" spans="1:7" ht="15.75" customHeight="1" x14ac:dyDescent="0.35">
      <c r="A36" s="24" t="s">
        <v>51</v>
      </c>
      <c r="B36" s="25">
        <f>B18+B12</f>
        <v>13411</v>
      </c>
      <c r="C36" s="25">
        <f>C18+C12</f>
        <v>34105</v>
      </c>
      <c r="D36" s="25">
        <f>D18+D12</f>
        <v>56269</v>
      </c>
      <c r="E36" s="25">
        <f>E18+E12</f>
        <v>43555</v>
      </c>
      <c r="F36" s="25">
        <f>F18+F12</f>
        <v>36199</v>
      </c>
    </row>
    <row r="37" spans="1:7" ht="15.75" customHeight="1" x14ac:dyDescent="0.35">
      <c r="A37" s="17" t="s">
        <v>52</v>
      </c>
      <c r="B37" s="18">
        <v>1822</v>
      </c>
      <c r="C37" s="18">
        <v>14916</v>
      </c>
      <c r="D37" s="18">
        <v>36542</v>
      </c>
      <c r="E37" s="18">
        <v>24693</v>
      </c>
      <c r="F37" s="18">
        <v>18634</v>
      </c>
    </row>
    <row r="38" spans="1:7" ht="15.75" customHeight="1" x14ac:dyDescent="0.35">
      <c r="A38" s="15" t="s">
        <v>53</v>
      </c>
      <c r="B38" s="22">
        <v>-0.2</v>
      </c>
      <c r="C38" s="22">
        <v>8.1300000000000008</v>
      </c>
      <c r="D38" s="22">
        <v>18.829999999999998</v>
      </c>
      <c r="E38" s="22">
        <v>13.13</v>
      </c>
      <c r="F38" s="22">
        <v>10.050000000000001</v>
      </c>
    </row>
    <row r="39" spans="1:7" ht="15.75" customHeight="1" x14ac:dyDescent="0.35">
      <c r="A39" s="13" t="s">
        <v>54</v>
      </c>
      <c r="B39" s="14">
        <v>1655</v>
      </c>
      <c r="C39" s="14">
        <v>21131</v>
      </c>
      <c r="D39" s="14">
        <v>37628</v>
      </c>
      <c r="E39" s="14">
        <v>19780</v>
      </c>
      <c r="F39" s="14">
        <v>15044</v>
      </c>
    </row>
    <row r="40" spans="1:7" ht="6" customHeight="1" x14ac:dyDescent="0.35"/>
    <row r="41" spans="1:7" x14ac:dyDescent="0.35">
      <c r="A41" s="26" t="s">
        <v>55</v>
      </c>
    </row>
  </sheetData>
  <mergeCells count="7">
    <mergeCell ref="A35:G35"/>
    <mergeCell ref="A1:G1"/>
    <mergeCell ref="A2:G2"/>
    <mergeCell ref="A4:G4"/>
    <mergeCell ref="A7:G7"/>
    <mergeCell ref="A17:G17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909D-DE15-44BB-953B-EB344BDC7ECE}">
  <dimension ref="A1:G45"/>
  <sheetViews>
    <sheetView showGridLines="0" zoomScale="71" zoomScaleNormal="100" workbookViewId="0">
      <selection activeCell="K13" sqref="K13"/>
    </sheetView>
  </sheetViews>
  <sheetFormatPr defaultColWidth="8.6328125" defaultRowHeight="14.5" x14ac:dyDescent="0.35"/>
  <cols>
    <col min="1" max="1" width="46" style="10" customWidth="1"/>
    <col min="2" max="6" width="16" style="10" customWidth="1"/>
    <col min="7" max="16384" width="8.6328125" style="10"/>
  </cols>
  <sheetData>
    <row r="1" spans="1:7" ht="27.75" customHeight="1" x14ac:dyDescent="0.35">
      <c r="A1" s="162" t="s">
        <v>56</v>
      </c>
      <c r="B1" s="162"/>
      <c r="C1" s="162"/>
      <c r="D1" s="162"/>
      <c r="E1" s="162"/>
      <c r="F1" s="162"/>
      <c r="G1" s="162"/>
    </row>
    <row r="2" spans="1:7" ht="15.75" customHeight="1" x14ac:dyDescent="0.35">
      <c r="A2" s="163" t="s">
        <v>57</v>
      </c>
      <c r="B2" s="163"/>
      <c r="C2" s="163"/>
      <c r="D2" s="163"/>
      <c r="E2" s="163"/>
      <c r="F2" s="163"/>
      <c r="G2" s="163"/>
    </row>
    <row r="3" spans="1:7" ht="19.5" customHeight="1" x14ac:dyDescent="0.35">
      <c r="A3" s="11" t="s">
        <v>18</v>
      </c>
      <c r="B3" s="12" t="s">
        <v>19</v>
      </c>
      <c r="C3" s="12" t="s">
        <v>20</v>
      </c>
      <c r="D3" s="12" t="s">
        <v>21</v>
      </c>
      <c r="E3" s="12" t="s">
        <v>22</v>
      </c>
      <c r="F3" s="12" t="s">
        <v>23</v>
      </c>
    </row>
    <row r="4" spans="1:7" ht="18" customHeight="1" x14ac:dyDescent="0.35">
      <c r="A4" s="161" t="s">
        <v>58</v>
      </c>
      <c r="B4" s="161"/>
      <c r="C4" s="161"/>
      <c r="D4" s="161"/>
      <c r="E4" s="161"/>
      <c r="F4" s="161"/>
      <c r="G4" s="161"/>
    </row>
    <row r="5" spans="1:7" ht="15.75" customHeight="1" x14ac:dyDescent="0.35">
      <c r="A5" s="24" t="s">
        <v>43</v>
      </c>
      <c r="B5" s="14">
        <v>-5543</v>
      </c>
      <c r="C5" s="14">
        <v>15689</v>
      </c>
      <c r="D5" s="14">
        <v>35465</v>
      </c>
      <c r="E5" s="14">
        <v>21369</v>
      </c>
      <c r="F5" s="14">
        <v>17661</v>
      </c>
    </row>
    <row r="6" spans="1:7" ht="15.75" customHeight="1" x14ac:dyDescent="0.35">
      <c r="A6" s="27" t="s">
        <v>59</v>
      </c>
      <c r="B6" s="18">
        <v>19508</v>
      </c>
      <c r="C6" s="18">
        <v>17925</v>
      </c>
      <c r="D6" s="18">
        <v>16319</v>
      </c>
      <c r="E6" s="18">
        <v>17326</v>
      </c>
      <c r="F6" s="18">
        <v>17282</v>
      </c>
    </row>
    <row r="7" spans="1:7" ht="15.75" customHeight="1" x14ac:dyDescent="0.35">
      <c r="A7" s="28" t="s">
        <v>60</v>
      </c>
      <c r="B7" s="16">
        <v>-760</v>
      </c>
      <c r="C7" s="16">
        <v>-1021</v>
      </c>
      <c r="D7" s="16">
        <v>-550</v>
      </c>
      <c r="E7" s="16">
        <v>-138</v>
      </c>
      <c r="F7" s="16">
        <v>-1685</v>
      </c>
    </row>
    <row r="8" spans="1:7" ht="15.75" customHeight="1" x14ac:dyDescent="0.35">
      <c r="A8" s="27" t="s">
        <v>61</v>
      </c>
      <c r="B8" s="18">
        <v>141</v>
      </c>
      <c r="C8" s="18">
        <v>1192</v>
      </c>
      <c r="D8" s="18">
        <v>13</v>
      </c>
      <c r="E8" s="18">
        <v>1038</v>
      </c>
      <c r="F8" s="18">
        <v>-1784</v>
      </c>
    </row>
    <row r="9" spans="1:7" ht="15.75" customHeight="1" x14ac:dyDescent="0.35">
      <c r="A9" s="28" t="s">
        <v>62</v>
      </c>
      <c r="B9" s="16">
        <v>-1213</v>
      </c>
      <c r="C9" s="16">
        <v>-1751</v>
      </c>
      <c r="D9" s="16">
        <v>-1322</v>
      </c>
      <c r="E9" s="16">
        <v>-1120</v>
      </c>
      <c r="F9" s="16">
        <v>-844</v>
      </c>
    </row>
    <row r="10" spans="1:7" ht="15.75" customHeight="1" x14ac:dyDescent="0.35">
      <c r="A10" s="27" t="s">
        <v>63</v>
      </c>
      <c r="B10" s="18">
        <v>-1652</v>
      </c>
      <c r="C10" s="18">
        <v>-1361</v>
      </c>
      <c r="D10" s="18">
        <v>2125</v>
      </c>
      <c r="E10" s="18">
        <v>-3185</v>
      </c>
      <c r="F10" s="18">
        <v>1211</v>
      </c>
    </row>
    <row r="11" spans="1:7" ht="15.75" customHeight="1" x14ac:dyDescent="0.35">
      <c r="A11" s="28" t="s">
        <v>64</v>
      </c>
      <c r="B11" s="16">
        <v>619</v>
      </c>
      <c r="C11" s="16">
        <v>-7</v>
      </c>
      <c r="D11" s="16">
        <v>-412</v>
      </c>
      <c r="E11" s="16">
        <v>578</v>
      </c>
      <c r="F11" s="16">
        <v>-629</v>
      </c>
    </row>
    <row r="12" spans="1:7" ht="15.75" customHeight="1" x14ac:dyDescent="0.35">
      <c r="A12" s="27" t="s">
        <v>65</v>
      </c>
      <c r="B12" s="18">
        <v>2015</v>
      </c>
      <c r="C12" s="18">
        <v>-1998</v>
      </c>
      <c r="D12" s="18">
        <v>-4730</v>
      </c>
      <c r="E12" s="18">
        <v>-885</v>
      </c>
      <c r="F12" s="18">
        <v>-366</v>
      </c>
    </row>
    <row r="13" spans="1:7" ht="15.75" customHeight="1" x14ac:dyDescent="0.35">
      <c r="A13" s="28" t="s">
        <v>66</v>
      </c>
      <c r="B13" s="16">
        <v>1036</v>
      </c>
      <c r="C13" s="16">
        <v>118</v>
      </c>
      <c r="D13" s="16">
        <v>486</v>
      </c>
      <c r="E13" s="16">
        <v>436</v>
      </c>
      <c r="F13" s="16">
        <v>429</v>
      </c>
    </row>
    <row r="14" spans="1:7" ht="15.75" customHeight="1" x14ac:dyDescent="0.35">
      <c r="A14" s="27" t="s">
        <v>15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</row>
    <row r="15" spans="1:7" ht="15.75" customHeight="1" x14ac:dyDescent="0.35">
      <c r="A15" s="24" t="s">
        <v>67</v>
      </c>
      <c r="B15" s="14">
        <v>10577</v>
      </c>
      <c r="C15" s="14">
        <v>29187</v>
      </c>
      <c r="D15" s="14">
        <v>49602</v>
      </c>
      <c r="E15" s="14">
        <v>35609</v>
      </c>
      <c r="F15" s="14">
        <v>31492</v>
      </c>
    </row>
    <row r="16" spans="1:7" ht="6" customHeight="1" x14ac:dyDescent="0.35"/>
    <row r="17" spans="1:7" ht="18" customHeight="1" x14ac:dyDescent="0.35">
      <c r="A17" s="161" t="s">
        <v>68</v>
      </c>
      <c r="B17" s="161"/>
      <c r="C17" s="161"/>
      <c r="D17" s="161"/>
      <c r="E17" s="161"/>
      <c r="F17" s="161"/>
      <c r="G17" s="161"/>
    </row>
    <row r="18" spans="1:7" ht="15.75" customHeight="1" x14ac:dyDescent="0.35">
      <c r="A18" s="28" t="s">
        <v>69</v>
      </c>
      <c r="B18" s="16">
        <v>-8922</v>
      </c>
      <c r="C18" s="16">
        <v>-8056</v>
      </c>
      <c r="D18" s="16">
        <v>-11974</v>
      </c>
      <c r="E18" s="16">
        <v>-15829</v>
      </c>
      <c r="F18" s="16">
        <v>-16448</v>
      </c>
    </row>
    <row r="19" spans="1:7" ht="15.75" customHeight="1" x14ac:dyDescent="0.35">
      <c r="A19" s="27" t="s">
        <v>70</v>
      </c>
      <c r="B19" s="18">
        <v>2968</v>
      </c>
      <c r="C19" s="18">
        <v>1791</v>
      </c>
      <c r="D19" s="18">
        <v>2635</v>
      </c>
      <c r="E19" s="18">
        <v>669</v>
      </c>
      <c r="F19" s="18">
        <v>7704</v>
      </c>
    </row>
    <row r="20" spans="1:7" ht="15.75" customHeight="1" x14ac:dyDescent="0.35">
      <c r="A20" s="28" t="s">
        <v>71</v>
      </c>
      <c r="B20" s="16">
        <v>-1419</v>
      </c>
      <c r="C20" s="16">
        <v>401</v>
      </c>
      <c r="D20" s="16">
        <v>-24</v>
      </c>
      <c r="E20" s="16">
        <v>-302</v>
      </c>
      <c r="F20" s="16">
        <v>-233</v>
      </c>
    </row>
    <row r="21" spans="1:7" ht="15.75" customHeight="1" x14ac:dyDescent="0.35">
      <c r="A21" s="27" t="s">
        <v>72</v>
      </c>
      <c r="B21" s="18">
        <v>-384</v>
      </c>
      <c r="C21" s="18">
        <v>400</v>
      </c>
      <c r="D21" s="18">
        <v>93</v>
      </c>
      <c r="E21" s="18">
        <v>-127</v>
      </c>
      <c r="F21" s="18">
        <v>-237</v>
      </c>
    </row>
    <row r="22" spans="1:7" ht="15.75" customHeight="1" x14ac:dyDescent="0.35">
      <c r="A22" s="24" t="s">
        <v>73</v>
      </c>
      <c r="B22" s="14">
        <v>-6965</v>
      </c>
      <c r="C22" s="14">
        <v>-5865</v>
      </c>
      <c r="D22" s="14">
        <v>-12108</v>
      </c>
      <c r="E22" s="14">
        <v>-15232</v>
      </c>
      <c r="F22" s="14">
        <v>-8936</v>
      </c>
    </row>
    <row r="23" spans="1:7" ht="6" customHeight="1" x14ac:dyDescent="0.35"/>
    <row r="24" spans="1:7" ht="18" customHeight="1" x14ac:dyDescent="0.35">
      <c r="A24" s="161" t="s">
        <v>74</v>
      </c>
      <c r="B24" s="161"/>
      <c r="C24" s="161"/>
      <c r="D24" s="161"/>
      <c r="E24" s="161"/>
      <c r="F24" s="161"/>
      <c r="G24" s="161"/>
    </row>
    <row r="25" spans="1:7" ht="15.75" customHeight="1" x14ac:dyDescent="0.35">
      <c r="A25" s="28" t="s">
        <v>75</v>
      </c>
      <c r="B25" s="16">
        <v>6819</v>
      </c>
      <c r="C25" s="16">
        <v>-7364</v>
      </c>
      <c r="D25" s="16">
        <v>-8742</v>
      </c>
      <c r="E25" s="16">
        <v>-4190</v>
      </c>
      <c r="F25" s="16">
        <v>-1300</v>
      </c>
    </row>
    <row r="26" spans="1:7" ht="15.75" customHeight="1" x14ac:dyDescent="0.35">
      <c r="A26" s="27" t="s">
        <v>76</v>
      </c>
      <c r="B26" s="18">
        <v>12308</v>
      </c>
      <c r="C26" s="18">
        <v>0</v>
      </c>
      <c r="D26" s="18">
        <v>0</v>
      </c>
      <c r="E26" s="18">
        <v>150</v>
      </c>
      <c r="F26" s="18">
        <v>478</v>
      </c>
    </row>
    <row r="27" spans="1:7" ht="15.75" customHeight="1" x14ac:dyDescent="0.35">
      <c r="A27" s="28" t="s">
        <v>77</v>
      </c>
      <c r="B27" s="16">
        <v>-9651</v>
      </c>
      <c r="C27" s="16">
        <v>-10179</v>
      </c>
      <c r="D27" s="16">
        <v>-10968</v>
      </c>
      <c r="E27" s="16">
        <v>-11336</v>
      </c>
      <c r="F27" s="16">
        <v>-11801</v>
      </c>
    </row>
    <row r="28" spans="1:7" ht="15.75" customHeight="1" x14ac:dyDescent="0.35">
      <c r="A28" s="27" t="s">
        <v>78</v>
      </c>
      <c r="B28" s="18">
        <v>7470</v>
      </c>
      <c r="C28" s="18">
        <v>-12936</v>
      </c>
      <c r="D28" s="18">
        <v>-8479</v>
      </c>
      <c r="E28" s="18">
        <v>-4055</v>
      </c>
      <c r="F28" s="18">
        <v>3568</v>
      </c>
    </row>
    <row r="29" spans="1:7" ht="15.75" customHeight="1" x14ac:dyDescent="0.35">
      <c r="A29" s="28" t="s">
        <v>79</v>
      </c>
      <c r="B29" s="16">
        <v>651</v>
      </c>
      <c r="C29" s="16">
        <v>-5572</v>
      </c>
      <c r="D29" s="16">
        <v>263</v>
      </c>
      <c r="E29" s="16">
        <v>135</v>
      </c>
      <c r="F29" s="16">
        <v>4866</v>
      </c>
    </row>
    <row r="30" spans="1:7" ht="15.75" customHeight="1" x14ac:dyDescent="0.35">
      <c r="A30" s="27" t="s">
        <v>80</v>
      </c>
      <c r="B30" s="18">
        <v>-24</v>
      </c>
      <c r="C30" s="18">
        <v>-36</v>
      </c>
      <c r="D30" s="18">
        <v>-114</v>
      </c>
      <c r="E30" s="18">
        <v>-40</v>
      </c>
      <c r="F30" s="18">
        <v>-195</v>
      </c>
    </row>
    <row r="31" spans="1:7" ht="15.75" customHeight="1" x14ac:dyDescent="0.35">
      <c r="A31" s="24" t="s">
        <v>81</v>
      </c>
      <c r="B31" s="14">
        <v>-3736</v>
      </c>
      <c r="C31" s="14">
        <v>-23113</v>
      </c>
      <c r="D31" s="14">
        <v>-24978</v>
      </c>
      <c r="E31" s="14">
        <v>-30109</v>
      </c>
      <c r="F31" s="14">
        <v>-23472</v>
      </c>
    </row>
    <row r="32" spans="1:7" ht="6" customHeight="1" x14ac:dyDescent="0.35"/>
    <row r="33" spans="1:7" ht="18" customHeight="1" x14ac:dyDescent="0.35">
      <c r="A33" s="161" t="s">
        <v>82</v>
      </c>
      <c r="B33" s="161"/>
      <c r="C33" s="161"/>
      <c r="D33" s="161"/>
      <c r="E33" s="161"/>
      <c r="F33" s="161"/>
      <c r="G33" s="161"/>
    </row>
    <row r="34" spans="1:7" ht="15.75" customHeight="1" x14ac:dyDescent="0.35">
      <c r="A34" s="24" t="s">
        <v>83</v>
      </c>
      <c r="B34" s="14">
        <v>-174</v>
      </c>
      <c r="C34" s="14">
        <v>58</v>
      </c>
      <c r="D34" s="14">
        <v>12326</v>
      </c>
      <c r="E34" s="14">
        <v>-9846</v>
      </c>
      <c r="F34" s="14">
        <v>-1013</v>
      </c>
    </row>
    <row r="35" spans="1:7" ht="15.75" customHeight="1" x14ac:dyDescent="0.35">
      <c r="A35" s="27" t="s">
        <v>84</v>
      </c>
      <c r="B35" s="18">
        <v>6911</v>
      </c>
      <c r="C35" s="18">
        <v>6737</v>
      </c>
      <c r="D35" s="18">
        <v>6795</v>
      </c>
      <c r="E35" s="18">
        <v>19121</v>
      </c>
      <c r="F35" s="18">
        <v>9275</v>
      </c>
    </row>
    <row r="36" spans="1:7" ht="15.75" customHeight="1" x14ac:dyDescent="0.35">
      <c r="A36" s="28" t="s">
        <v>85</v>
      </c>
      <c r="B36" s="16">
        <v>6737</v>
      </c>
      <c r="C36" s="16">
        <v>6795</v>
      </c>
      <c r="D36" s="16">
        <v>19121</v>
      </c>
      <c r="E36" s="16">
        <v>9275</v>
      </c>
      <c r="F36" s="16">
        <v>8262</v>
      </c>
    </row>
    <row r="37" spans="1:7" ht="15.75" customHeight="1" x14ac:dyDescent="0.35">
      <c r="A37" s="24" t="s">
        <v>54</v>
      </c>
      <c r="B37" s="14">
        <v>1655</v>
      </c>
      <c r="C37" s="14">
        <v>21131</v>
      </c>
      <c r="D37" s="14">
        <v>37628</v>
      </c>
      <c r="E37" s="14">
        <v>19780</v>
      </c>
      <c r="F37" s="14">
        <v>15044</v>
      </c>
    </row>
    <row r="38" spans="1:7" ht="15.75" customHeight="1" x14ac:dyDescent="0.35">
      <c r="A38" s="28" t="s">
        <v>86</v>
      </c>
      <c r="B38" s="22">
        <v>0.89</v>
      </c>
      <c r="C38" s="22">
        <v>11.03</v>
      </c>
      <c r="D38" s="22">
        <v>19.489999999999998</v>
      </c>
      <c r="E38" s="22">
        <v>10.56</v>
      </c>
      <c r="F38" s="22">
        <v>8.31</v>
      </c>
    </row>
    <row r="39" spans="1:7" ht="15.75" customHeight="1" x14ac:dyDescent="0.35">
      <c r="A39" s="27" t="s">
        <v>87</v>
      </c>
      <c r="B39" s="18">
        <v>-1531</v>
      </c>
      <c r="C39" s="18">
        <v>38</v>
      </c>
      <c r="D39" s="18">
        <v>-5417</v>
      </c>
      <c r="E39" s="18">
        <v>-14678</v>
      </c>
      <c r="F39" s="18">
        <v>-15044</v>
      </c>
    </row>
    <row r="40" spans="1:7" ht="15.75" customHeight="1" x14ac:dyDescent="0.35">
      <c r="A40" s="28" t="s">
        <v>88</v>
      </c>
      <c r="B40" s="16">
        <v>2987</v>
      </c>
      <c r="C40" s="16">
        <v>4355</v>
      </c>
      <c r="D40" s="16">
        <v>9148</v>
      </c>
      <c r="E40" s="16">
        <v>10416</v>
      </c>
      <c r="F40" s="16">
        <v>8458</v>
      </c>
    </row>
    <row r="41" spans="1:7" ht="15.75" customHeight="1" x14ac:dyDescent="0.35">
      <c r="A41" s="27" t="s">
        <v>89</v>
      </c>
      <c r="B41" s="18">
        <v>720</v>
      </c>
      <c r="C41" s="18">
        <v>699</v>
      </c>
      <c r="D41" s="18">
        <v>525</v>
      </c>
      <c r="E41" s="18">
        <v>465</v>
      </c>
      <c r="F41" s="18">
        <v>587</v>
      </c>
    </row>
    <row r="42" spans="1:7" ht="15.75" customHeight="1" x14ac:dyDescent="0.35">
      <c r="A42" s="28" t="s">
        <v>90</v>
      </c>
      <c r="B42" s="16">
        <v>12229</v>
      </c>
      <c r="C42" s="16">
        <v>30548</v>
      </c>
      <c r="D42" s="16">
        <v>47477</v>
      </c>
      <c r="E42" s="16">
        <v>38794</v>
      </c>
      <c r="F42" s="16">
        <v>30281</v>
      </c>
    </row>
    <row r="43" spans="1:7" ht="15.75" customHeight="1" x14ac:dyDescent="0.35">
      <c r="A43" s="27" t="s">
        <v>91</v>
      </c>
      <c r="B43" s="18">
        <v>13499</v>
      </c>
      <c r="C43" s="18">
        <v>11720</v>
      </c>
      <c r="D43" s="18">
        <v>18524</v>
      </c>
      <c r="E43" s="18">
        <v>15829</v>
      </c>
      <c r="F43" s="18">
        <v>16448</v>
      </c>
    </row>
    <row r="44" spans="1:7" ht="6" customHeight="1" x14ac:dyDescent="0.35"/>
    <row r="45" spans="1:7" x14ac:dyDescent="0.35">
      <c r="A45" s="26" t="s">
        <v>55</v>
      </c>
    </row>
  </sheetData>
  <mergeCells count="6">
    <mergeCell ref="A33:G33"/>
    <mergeCell ref="A1:G1"/>
    <mergeCell ref="A2:G2"/>
    <mergeCell ref="A4:G4"/>
    <mergeCell ref="A17:G17"/>
    <mergeCell ref="A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36BA-7B74-4F3B-A92F-EE168D22CF67}">
  <dimension ref="A1:P66"/>
  <sheetViews>
    <sheetView showGridLines="0" topLeftCell="A47" zoomScale="70" zoomScaleNormal="70" workbookViewId="0">
      <selection activeCell="P38" sqref="P38"/>
    </sheetView>
  </sheetViews>
  <sheetFormatPr defaultColWidth="8.6328125" defaultRowHeight="14.5" x14ac:dyDescent="0.35"/>
  <cols>
    <col min="1" max="1" width="3" style="10" customWidth="1"/>
    <col min="2" max="2" width="40" style="10" customWidth="1"/>
    <col min="3" max="8" width="14" style="10" customWidth="1"/>
    <col min="9" max="16384" width="8.6328125" style="10"/>
  </cols>
  <sheetData>
    <row r="1" spans="1:8" ht="30" customHeight="1" x14ac:dyDescent="0.35">
      <c r="A1" s="162" t="s">
        <v>165</v>
      </c>
      <c r="B1" s="162"/>
      <c r="C1" s="162"/>
      <c r="D1" s="162"/>
      <c r="E1" s="162"/>
      <c r="F1" s="162"/>
      <c r="G1" s="162"/>
      <c r="H1" s="162"/>
    </row>
    <row r="2" spans="1:8" ht="13.5" customHeight="1" x14ac:dyDescent="0.35">
      <c r="A2" s="165" t="s">
        <v>166</v>
      </c>
      <c r="B2" s="165"/>
      <c r="C2" s="165"/>
      <c r="D2" s="165"/>
      <c r="E2" s="165"/>
      <c r="F2" s="165"/>
      <c r="G2" s="165"/>
      <c r="H2" s="165"/>
    </row>
    <row r="4" spans="1:8" ht="18" customHeight="1" x14ac:dyDescent="0.35">
      <c r="B4" s="11" t="s">
        <v>18</v>
      </c>
      <c r="C4" s="81" t="s">
        <v>167</v>
      </c>
      <c r="D4" s="81" t="s">
        <v>168</v>
      </c>
      <c r="E4" s="81" t="s">
        <v>169</v>
      </c>
      <c r="F4" s="81" t="s">
        <v>170</v>
      </c>
      <c r="G4" s="81" t="s">
        <v>171</v>
      </c>
      <c r="H4" s="82" t="s">
        <v>172</v>
      </c>
    </row>
    <row r="5" spans="1:8" ht="18" customHeight="1" x14ac:dyDescent="0.35">
      <c r="A5" s="164" t="s">
        <v>173</v>
      </c>
      <c r="B5" s="164"/>
      <c r="C5" s="164"/>
      <c r="D5" s="164"/>
      <c r="E5" s="164"/>
      <c r="F5" s="164"/>
      <c r="G5" s="164"/>
      <c r="H5" s="164"/>
    </row>
    <row r="6" spans="1:8" ht="15.75" customHeight="1" x14ac:dyDescent="0.35">
      <c r="A6" s="166" t="s">
        <v>174</v>
      </c>
      <c r="B6" s="166"/>
      <c r="C6" s="166"/>
      <c r="D6" s="166"/>
      <c r="E6" s="166"/>
      <c r="F6" s="166"/>
      <c r="G6" s="166"/>
      <c r="H6" s="166"/>
    </row>
    <row r="7" spans="1:8" ht="15" customHeight="1" x14ac:dyDescent="0.35">
      <c r="B7" s="83" t="s">
        <v>175</v>
      </c>
      <c r="C7" s="84">
        <v>9342</v>
      </c>
      <c r="D7" s="84">
        <v>5686</v>
      </c>
      <c r="E7" s="84">
        <v>5596</v>
      </c>
      <c r="F7" s="84">
        <v>5640</v>
      </c>
      <c r="G7" s="84">
        <v>17678</v>
      </c>
    </row>
    <row r="8" spans="1:8" ht="15" customHeight="1" x14ac:dyDescent="0.35">
      <c r="B8" s="85" t="s">
        <v>176</v>
      </c>
      <c r="C8" s="86">
        <v>53</v>
      </c>
      <c r="D8" s="86">
        <v>63</v>
      </c>
      <c r="E8" s="86">
        <v>31</v>
      </c>
      <c r="F8" s="86">
        <v>35</v>
      </c>
      <c r="G8" s="86">
        <v>4</v>
      </c>
    </row>
    <row r="9" spans="1:8" ht="15" customHeight="1" x14ac:dyDescent="0.35">
      <c r="B9" s="83" t="s">
        <v>177</v>
      </c>
      <c r="C9" s="84">
        <v>15050</v>
      </c>
      <c r="D9" s="84">
        <v>13325</v>
      </c>
      <c r="E9" s="84">
        <v>11471</v>
      </c>
      <c r="F9" s="84">
        <v>18419</v>
      </c>
      <c r="G9" s="84">
        <v>20456</v>
      </c>
    </row>
    <row r="10" spans="1:8" ht="15" customHeight="1" x14ac:dyDescent="0.35">
      <c r="B10" s="85" t="s">
        <v>178</v>
      </c>
      <c r="C10" s="86">
        <v>3383</v>
      </c>
      <c r="D10" s="86">
        <v>3722</v>
      </c>
      <c r="E10" s="86">
        <v>3576</v>
      </c>
      <c r="F10" s="86">
        <v>4248</v>
      </c>
      <c r="G10" s="86">
        <v>5866</v>
      </c>
    </row>
    <row r="11" spans="1:8" ht="15" customHeight="1" x14ac:dyDescent="0.35">
      <c r="B11" s="83" t="s">
        <v>179</v>
      </c>
      <c r="C11" s="84">
        <v>487</v>
      </c>
      <c r="D11" s="84">
        <v>492</v>
      </c>
      <c r="E11" s="84">
        <v>457</v>
      </c>
      <c r="F11" s="84">
        <v>565</v>
      </c>
      <c r="G11" s="84">
        <v>515</v>
      </c>
    </row>
    <row r="12" spans="1:8" ht="15" customHeight="1" x14ac:dyDescent="0.35">
      <c r="B12" s="85" t="s">
        <v>180</v>
      </c>
      <c r="C12" s="86">
        <v>1834</v>
      </c>
      <c r="D12" s="86">
        <v>1634</v>
      </c>
      <c r="E12" s="86">
        <v>1643</v>
      </c>
      <c r="F12" s="86">
        <v>1982</v>
      </c>
      <c r="G12" s="86">
        <v>1866</v>
      </c>
    </row>
    <row r="13" spans="1:8" ht="15" customHeight="1" x14ac:dyDescent="0.35">
      <c r="B13" s="83" t="s">
        <v>181</v>
      </c>
      <c r="C13" s="84">
        <v>3872</v>
      </c>
      <c r="D13" s="84">
        <v>3407</v>
      </c>
      <c r="E13" s="84">
        <v>3304</v>
      </c>
      <c r="F13" s="84">
        <v>2849</v>
      </c>
      <c r="G13" s="84">
        <v>3739</v>
      </c>
    </row>
    <row r="14" spans="1:8" ht="15.75" customHeight="1" x14ac:dyDescent="0.35">
      <c r="B14" s="87" t="s">
        <v>182</v>
      </c>
      <c r="C14" s="88">
        <v>34021</v>
      </c>
      <c r="D14" s="88">
        <v>28329</v>
      </c>
      <c r="E14" s="88">
        <v>26078</v>
      </c>
      <c r="F14" s="88">
        <v>33738</v>
      </c>
      <c r="G14" s="88">
        <v>50343</v>
      </c>
    </row>
    <row r="16" spans="1:8" ht="15.75" customHeight="1" x14ac:dyDescent="0.35">
      <c r="A16" s="166" t="s">
        <v>183</v>
      </c>
      <c r="B16" s="166"/>
      <c r="C16" s="166"/>
      <c r="D16" s="166"/>
      <c r="E16" s="166"/>
      <c r="F16" s="166"/>
      <c r="G16" s="166"/>
      <c r="H16" s="166"/>
    </row>
    <row r="17" spans="1:8" ht="15" customHeight="1" x14ac:dyDescent="0.35">
      <c r="B17" s="83" t="s">
        <v>184</v>
      </c>
      <c r="C17" s="84">
        <v>1942</v>
      </c>
      <c r="D17" s="84">
        <v>1511</v>
      </c>
      <c r="E17" s="84">
        <v>589</v>
      </c>
      <c r="F17" s="84">
        <v>603</v>
      </c>
      <c r="G17" s="84">
        <v>1069</v>
      </c>
    </row>
    <row r="18" spans="1:8" ht="15" customHeight="1" x14ac:dyDescent="0.35">
      <c r="B18" s="85" t="s">
        <v>185</v>
      </c>
      <c r="C18" s="86">
        <v>169207</v>
      </c>
      <c r="D18" s="86">
        <v>150494</v>
      </c>
      <c r="E18" s="86">
        <v>156618</v>
      </c>
      <c r="F18" s="86">
        <v>146961</v>
      </c>
      <c r="G18" s="86">
        <v>143591</v>
      </c>
      <c r="H18" s="89" t="s">
        <v>186</v>
      </c>
    </row>
    <row r="19" spans="1:8" ht="15" customHeight="1" x14ac:dyDescent="0.35">
      <c r="B19" s="83" t="s">
        <v>187</v>
      </c>
      <c r="C19" s="84">
        <v>171037</v>
      </c>
      <c r="D19" s="84">
        <v>176228</v>
      </c>
      <c r="E19" s="84">
        <v>188614</v>
      </c>
      <c r="F19" s="84">
        <v>189084</v>
      </c>
      <c r="G19" s="84">
        <v>184194</v>
      </c>
      <c r="H19" s="90" t="s">
        <v>188</v>
      </c>
    </row>
    <row r="20" spans="1:8" ht="15" customHeight="1" x14ac:dyDescent="0.35">
      <c r="B20" s="85" t="s">
        <v>189</v>
      </c>
      <c r="C20" s="86">
        <v>35546</v>
      </c>
      <c r="D20" s="86">
        <v>38688</v>
      </c>
      <c r="E20" s="86">
        <v>39052</v>
      </c>
      <c r="F20" s="86">
        <v>40696</v>
      </c>
      <c r="G20" s="86">
        <v>45238</v>
      </c>
      <c r="H20" s="89" t="s">
        <v>190</v>
      </c>
    </row>
    <row r="21" spans="1:8" ht="15" customHeight="1" x14ac:dyDescent="0.35">
      <c r="B21" s="83" t="s">
        <v>191</v>
      </c>
      <c r="C21" s="84">
        <v>6766</v>
      </c>
      <c r="D21" s="84">
        <v>10532</v>
      </c>
      <c r="E21" s="84">
        <v>11950</v>
      </c>
      <c r="F21" s="84">
        <v>12384</v>
      </c>
      <c r="G21" s="84">
        <v>12310</v>
      </c>
    </row>
    <row r="22" spans="1:8" ht="15" customHeight="1" x14ac:dyDescent="0.35">
      <c r="B22" s="85" t="s">
        <v>192</v>
      </c>
      <c r="C22" s="86">
        <v>4518</v>
      </c>
      <c r="D22" s="86">
        <v>4463</v>
      </c>
      <c r="E22" s="86">
        <v>4402</v>
      </c>
      <c r="F22" s="86">
        <v>4385</v>
      </c>
      <c r="G22" s="86">
        <v>4722</v>
      </c>
      <c r="H22" s="89" t="s">
        <v>193</v>
      </c>
    </row>
    <row r="23" spans="1:8" ht="15" customHeight="1" x14ac:dyDescent="0.35">
      <c r="B23" s="83" t="s">
        <v>194</v>
      </c>
      <c r="C23" s="84">
        <v>1863</v>
      </c>
      <c r="D23" s="84">
        <v>3411</v>
      </c>
      <c r="E23" s="84">
        <v>1101</v>
      </c>
      <c r="F23" s="84">
        <v>768</v>
      </c>
      <c r="G23" s="84">
        <v>436</v>
      </c>
    </row>
    <row r="24" spans="1:8" ht="15.75" customHeight="1" x14ac:dyDescent="0.35">
      <c r="B24" s="87" t="s">
        <v>195</v>
      </c>
      <c r="C24" s="88">
        <v>219842</v>
      </c>
      <c r="D24" s="88">
        <v>209099</v>
      </c>
      <c r="E24" s="88">
        <v>213712</v>
      </c>
      <c r="F24" s="88">
        <v>205797</v>
      </c>
      <c r="G24" s="88">
        <v>207366</v>
      </c>
    </row>
    <row r="25" spans="1:8" ht="18" customHeight="1" x14ac:dyDescent="0.35">
      <c r="B25" s="91" t="s">
        <v>196</v>
      </c>
      <c r="C25" s="92">
        <v>253863</v>
      </c>
      <c r="D25" s="92">
        <v>237428</v>
      </c>
      <c r="E25" s="92">
        <v>239790</v>
      </c>
      <c r="F25" s="92">
        <v>239535</v>
      </c>
      <c r="G25" s="92">
        <v>257709</v>
      </c>
    </row>
    <row r="27" spans="1:8" ht="18" customHeight="1" x14ac:dyDescent="0.35">
      <c r="A27" s="164" t="s">
        <v>197</v>
      </c>
      <c r="B27" s="164"/>
      <c r="C27" s="164"/>
      <c r="D27" s="164"/>
      <c r="E27" s="164"/>
      <c r="F27" s="164"/>
      <c r="G27" s="164"/>
      <c r="H27" s="164"/>
    </row>
    <row r="28" spans="1:8" ht="15.75" customHeight="1" x14ac:dyDescent="0.35">
      <c r="A28" s="166" t="s">
        <v>198</v>
      </c>
      <c r="B28" s="166"/>
      <c r="C28" s="166"/>
      <c r="D28" s="166"/>
      <c r="E28" s="166"/>
      <c r="F28" s="166"/>
      <c r="G28" s="166"/>
      <c r="H28" s="166"/>
    </row>
    <row r="29" spans="1:8" ht="15" customHeight="1" x14ac:dyDescent="0.35">
      <c r="B29" s="83" t="s">
        <v>199</v>
      </c>
      <c r="C29" s="84">
        <v>13953</v>
      </c>
      <c r="D29" s="84">
        <v>14103</v>
      </c>
      <c r="E29" s="84">
        <v>10950</v>
      </c>
      <c r="F29" s="84">
        <v>16454</v>
      </c>
      <c r="G29" s="84">
        <v>18955</v>
      </c>
    </row>
    <row r="30" spans="1:8" ht="15" customHeight="1" x14ac:dyDescent="0.35">
      <c r="B30" s="85" t="s">
        <v>200</v>
      </c>
      <c r="C30" s="86">
        <v>4927</v>
      </c>
      <c r="D30" s="86">
        <v>6589</v>
      </c>
      <c r="E30" s="86">
        <v>7812</v>
      </c>
      <c r="F30" s="86">
        <v>6972</v>
      </c>
      <c r="G30" s="86">
        <v>7486</v>
      </c>
    </row>
    <row r="31" spans="1:8" ht="15" customHeight="1" x14ac:dyDescent="0.35">
      <c r="B31" s="83" t="s">
        <v>201</v>
      </c>
      <c r="C31" s="84">
        <v>1628</v>
      </c>
      <c r="D31" s="84">
        <v>1554</v>
      </c>
      <c r="E31" s="84">
        <v>921</v>
      </c>
      <c r="F31" s="84">
        <v>1700</v>
      </c>
      <c r="G31" s="84">
        <v>4381</v>
      </c>
    </row>
    <row r="32" spans="1:8" ht="15" customHeight="1" x14ac:dyDescent="0.35">
      <c r="B32" s="85" t="s">
        <v>202</v>
      </c>
      <c r="C32" s="86">
        <v>5726</v>
      </c>
      <c r="D32" s="86">
        <v>3282</v>
      </c>
      <c r="E32" s="86">
        <v>1548</v>
      </c>
      <c r="F32" s="86">
        <v>256</v>
      </c>
      <c r="G32" s="86">
        <v>1964</v>
      </c>
    </row>
    <row r="33" spans="1:16" ht="15" customHeight="1" x14ac:dyDescent="0.35">
      <c r="B33" s="83" t="s">
        <v>203</v>
      </c>
      <c r="C33" s="84">
        <v>937</v>
      </c>
      <c r="D33" s="84">
        <v>1002</v>
      </c>
      <c r="E33" s="84">
        <v>952</v>
      </c>
      <c r="F33" s="84">
        <v>1409</v>
      </c>
      <c r="G33" s="84">
        <v>1422</v>
      </c>
    </row>
    <row r="34" spans="1:16" ht="15.75" customHeight="1" x14ac:dyDescent="0.35">
      <c r="B34" s="87" t="s">
        <v>204</v>
      </c>
      <c r="C34" s="88">
        <v>27171</v>
      </c>
      <c r="D34" s="88">
        <v>26530</v>
      </c>
      <c r="E34" s="88">
        <v>22183</v>
      </c>
      <c r="F34" s="88">
        <v>26791</v>
      </c>
      <c r="G34" s="88">
        <v>34208</v>
      </c>
    </row>
    <row r="36" spans="1:16" ht="15.75" customHeight="1" x14ac:dyDescent="0.35">
      <c r="A36" s="166" t="s">
        <v>205</v>
      </c>
      <c r="B36" s="166"/>
      <c r="C36" s="166"/>
      <c r="D36" s="166"/>
      <c r="E36" s="166"/>
      <c r="F36" s="166"/>
      <c r="G36" s="166"/>
      <c r="H36" s="166"/>
      <c r="O36" s="10" t="s">
        <v>284</v>
      </c>
      <c r="P36" s="119">
        <f>G32+G37+G38</f>
        <v>23742</v>
      </c>
    </row>
    <row r="37" spans="1:16" ht="15" customHeight="1" x14ac:dyDescent="0.35">
      <c r="B37" s="83" t="s">
        <v>206</v>
      </c>
      <c r="C37" s="84">
        <v>28733</v>
      </c>
      <c r="D37" s="84">
        <v>23691</v>
      </c>
      <c r="E37" s="84">
        <v>42767</v>
      </c>
      <c r="F37" s="84">
        <v>31113</v>
      </c>
      <c r="G37" s="84">
        <v>21375</v>
      </c>
      <c r="P37" s="119">
        <f>P36-G7</f>
        <v>6064</v>
      </c>
    </row>
    <row r="38" spans="1:16" ht="15" customHeight="1" x14ac:dyDescent="0.35">
      <c r="B38" s="85" t="s">
        <v>207</v>
      </c>
      <c r="C38" s="86">
        <v>127</v>
      </c>
      <c r="D38" s="86">
        <v>282</v>
      </c>
      <c r="E38" s="86">
        <v>447</v>
      </c>
      <c r="F38" s="86">
        <v>449</v>
      </c>
      <c r="G38" s="86">
        <v>403</v>
      </c>
    </row>
    <row r="39" spans="1:16" ht="15" customHeight="1" x14ac:dyDescent="0.35">
      <c r="B39" s="83" t="s">
        <v>208</v>
      </c>
      <c r="C39" s="84">
        <v>15921</v>
      </c>
      <c r="D39" s="84">
        <v>13688</v>
      </c>
      <c r="E39" s="84">
        <v>12569</v>
      </c>
      <c r="F39" s="84">
        <v>14665</v>
      </c>
      <c r="G39" s="84">
        <v>17131</v>
      </c>
    </row>
    <row r="40" spans="1:16" ht="15" customHeight="1" x14ac:dyDescent="0.35">
      <c r="B40" s="85" t="s">
        <v>209</v>
      </c>
      <c r="C40" s="86">
        <v>6654</v>
      </c>
      <c r="D40" s="86">
        <v>7866</v>
      </c>
      <c r="E40" s="86">
        <v>9217</v>
      </c>
      <c r="F40" s="86">
        <v>6248</v>
      </c>
      <c r="G40" s="86">
        <v>4357</v>
      </c>
      <c r="H40" s="89" t="s">
        <v>210</v>
      </c>
    </row>
    <row r="41" spans="1:16" ht="15" customHeight="1" x14ac:dyDescent="0.35">
      <c r="B41" s="83" t="s">
        <v>211</v>
      </c>
      <c r="C41" s="84">
        <v>19742</v>
      </c>
      <c r="D41" s="84">
        <v>20445</v>
      </c>
      <c r="E41" s="84">
        <v>20328</v>
      </c>
      <c r="F41" s="84">
        <v>20778</v>
      </c>
      <c r="G41" s="84">
        <v>20396</v>
      </c>
      <c r="H41" s="90" t="s">
        <v>212</v>
      </c>
    </row>
    <row r="42" spans="1:16" ht="15.75" customHeight="1" x14ac:dyDescent="0.35">
      <c r="B42" s="87" t="s">
        <v>213</v>
      </c>
      <c r="C42" s="88">
        <v>71050</v>
      </c>
      <c r="D42" s="88">
        <v>65690</v>
      </c>
      <c r="E42" s="88">
        <v>85881</v>
      </c>
      <c r="F42" s="88">
        <v>72804</v>
      </c>
      <c r="G42" s="88">
        <v>63259</v>
      </c>
    </row>
    <row r="43" spans="1:16" ht="16.5" customHeight="1" x14ac:dyDescent="0.35">
      <c r="B43" s="87" t="s">
        <v>214</v>
      </c>
      <c r="C43" s="88">
        <v>98221</v>
      </c>
      <c r="D43" s="88">
        <v>92220</v>
      </c>
      <c r="E43" s="88">
        <v>107064</v>
      </c>
      <c r="F43" s="88">
        <v>99595</v>
      </c>
      <c r="G43" s="88">
        <v>97467</v>
      </c>
    </row>
    <row r="45" spans="1:16" ht="15.75" customHeight="1" x14ac:dyDescent="0.35">
      <c r="A45" s="166" t="s">
        <v>215</v>
      </c>
      <c r="B45" s="166"/>
      <c r="C45" s="166"/>
      <c r="D45" s="166"/>
      <c r="E45" s="166"/>
      <c r="F45" s="166"/>
      <c r="G45" s="166"/>
      <c r="H45" s="166"/>
    </row>
    <row r="46" spans="1:16" ht="15" customHeight="1" x14ac:dyDescent="0.35">
      <c r="B46" s="83" t="s">
        <v>216</v>
      </c>
      <c r="C46" s="84">
        <v>1832</v>
      </c>
      <c r="D46" s="84">
        <v>1832</v>
      </c>
      <c r="E46" s="84">
        <v>1832</v>
      </c>
      <c r="F46" s="84">
        <v>1832</v>
      </c>
      <c r="G46" s="84">
        <v>1832</v>
      </c>
      <c r="H46" s="90" t="s">
        <v>217</v>
      </c>
    </row>
    <row r="47" spans="1:16" ht="15" customHeight="1" x14ac:dyDescent="0.35">
      <c r="B47" s="85" t="s">
        <v>218</v>
      </c>
      <c r="C47" s="86">
        <v>17112</v>
      </c>
      <c r="D47" s="86">
        <v>17265</v>
      </c>
      <c r="E47" s="86">
        <v>16829</v>
      </c>
      <c r="F47" s="86">
        <v>17282</v>
      </c>
      <c r="G47" s="86">
        <v>18660</v>
      </c>
    </row>
    <row r="48" spans="1:16" ht="15" customHeight="1" x14ac:dyDescent="0.35">
      <c r="B48" s="83" t="s">
        <v>219</v>
      </c>
      <c r="C48" s="84">
        <v>180987</v>
      </c>
      <c r="D48" s="84">
        <v>174945</v>
      </c>
      <c r="E48" s="84">
        <v>160377</v>
      </c>
      <c r="F48" s="84">
        <v>165546</v>
      </c>
      <c r="G48" s="84">
        <v>190024</v>
      </c>
      <c r="H48" s="90" t="s">
        <v>220</v>
      </c>
    </row>
    <row r="49" spans="1:8" ht="15" customHeight="1" x14ac:dyDescent="0.35">
      <c r="B49" s="85" t="s">
        <v>221</v>
      </c>
      <c r="C49" s="86">
        <v>-3544</v>
      </c>
      <c r="D49" s="86">
        <v>-4990</v>
      </c>
      <c r="E49" s="86">
        <v>-5612</v>
      </c>
      <c r="F49" s="86">
        <v>-3889</v>
      </c>
      <c r="G49" s="86">
        <v>-2798</v>
      </c>
      <c r="H49" s="89" t="s">
        <v>222</v>
      </c>
    </row>
    <row r="50" spans="1:8" ht="15" customHeight="1" x14ac:dyDescent="0.35">
      <c r="B50" s="83" t="s">
        <v>223</v>
      </c>
      <c r="C50" s="84">
        <v>-240</v>
      </c>
      <c r="D50" s="84">
        <v>-240</v>
      </c>
      <c r="E50" s="84">
        <v>-240</v>
      </c>
      <c r="F50" s="84">
        <v>-240</v>
      </c>
      <c r="G50" s="84">
        <v>-240</v>
      </c>
    </row>
    <row r="51" spans="1:8" ht="15" customHeight="1" x14ac:dyDescent="0.35">
      <c r="B51" s="85" t="s">
        <v>42</v>
      </c>
      <c r="C51" s="86">
        <v>1034</v>
      </c>
      <c r="D51" s="86">
        <v>1008</v>
      </c>
      <c r="E51" s="86">
        <v>595</v>
      </c>
      <c r="F51" s="86">
        <v>803</v>
      </c>
      <c r="G51" s="86">
        <v>972</v>
      </c>
      <c r="H51" s="89" t="s">
        <v>224</v>
      </c>
    </row>
    <row r="52" spans="1:8" ht="16.5" customHeight="1" x14ac:dyDescent="0.35">
      <c r="B52" s="87" t="s">
        <v>225</v>
      </c>
      <c r="C52" s="88">
        <v>155642</v>
      </c>
      <c r="D52" s="88">
        <v>145221</v>
      </c>
      <c r="E52" s="88">
        <v>132283</v>
      </c>
      <c r="F52" s="88">
        <v>139940</v>
      </c>
      <c r="G52" s="88">
        <v>160242</v>
      </c>
    </row>
    <row r="53" spans="1:8" ht="18" customHeight="1" x14ac:dyDescent="0.35">
      <c r="B53" s="91" t="s">
        <v>226</v>
      </c>
      <c r="C53" s="92">
        <v>253863</v>
      </c>
      <c r="D53" s="92">
        <v>237428</v>
      </c>
      <c r="E53" s="92">
        <v>239790</v>
      </c>
      <c r="F53" s="92">
        <v>239535</v>
      </c>
      <c r="G53" s="92">
        <v>257709</v>
      </c>
    </row>
    <row r="55" spans="1:8" ht="18" customHeight="1" x14ac:dyDescent="0.35">
      <c r="A55" s="164" t="s">
        <v>227</v>
      </c>
      <c r="B55" s="164"/>
      <c r="C55" s="164"/>
      <c r="D55" s="164"/>
      <c r="E55" s="164"/>
      <c r="F55" s="164"/>
      <c r="G55" s="164"/>
      <c r="H55" s="164"/>
    </row>
    <row r="56" spans="1:8" ht="15.75" customHeight="1" x14ac:dyDescent="0.35">
      <c r="B56" s="11" t="s">
        <v>228</v>
      </c>
      <c r="C56" s="82" t="s">
        <v>167</v>
      </c>
      <c r="D56" s="82" t="s">
        <v>168</v>
      </c>
      <c r="E56" s="82" t="s">
        <v>169</v>
      </c>
      <c r="F56" s="82" t="s">
        <v>170</v>
      </c>
      <c r="G56" s="82" t="s">
        <v>171</v>
      </c>
      <c r="H56" s="11" t="s">
        <v>229</v>
      </c>
    </row>
    <row r="57" spans="1:8" ht="15" customHeight="1" x14ac:dyDescent="0.35">
      <c r="B57" s="93" t="s">
        <v>230</v>
      </c>
      <c r="C57" s="84">
        <v>34459</v>
      </c>
      <c r="D57" s="84">
        <v>26973</v>
      </c>
      <c r="E57" s="84">
        <v>44315</v>
      </c>
      <c r="F57" s="84">
        <v>31369</v>
      </c>
      <c r="G57" s="84">
        <v>23339</v>
      </c>
      <c r="H57" s="90" t="s">
        <v>231</v>
      </c>
    </row>
    <row r="58" spans="1:8" ht="15" customHeight="1" x14ac:dyDescent="0.35">
      <c r="B58" s="94" t="s">
        <v>232</v>
      </c>
      <c r="C58" s="86">
        <v>25064</v>
      </c>
      <c r="D58" s="86">
        <v>21224</v>
      </c>
      <c r="E58" s="86">
        <v>38688</v>
      </c>
      <c r="F58" s="86">
        <v>25694</v>
      </c>
      <c r="G58" s="86">
        <v>5438</v>
      </c>
      <c r="H58" s="89" t="s">
        <v>233</v>
      </c>
    </row>
    <row r="59" spans="1:8" ht="15" customHeight="1" x14ac:dyDescent="0.35">
      <c r="B59" s="93" t="s">
        <v>234</v>
      </c>
      <c r="C59" s="95">
        <v>1.25</v>
      </c>
      <c r="D59" s="95">
        <v>1.07</v>
      </c>
      <c r="E59" s="95">
        <v>1.18</v>
      </c>
      <c r="F59" s="95">
        <v>1.26</v>
      </c>
      <c r="G59" s="95">
        <v>1.47</v>
      </c>
      <c r="H59" s="90" t="s">
        <v>235</v>
      </c>
    </row>
    <row r="60" spans="1:8" ht="15" customHeight="1" x14ac:dyDescent="0.35">
      <c r="B60" s="94" t="s">
        <v>236</v>
      </c>
      <c r="C60" s="96">
        <v>0.22</v>
      </c>
      <c r="D60" s="96">
        <v>0.19</v>
      </c>
      <c r="E60" s="96">
        <v>0.34</v>
      </c>
      <c r="F60" s="96">
        <v>0.22</v>
      </c>
      <c r="G60" s="96">
        <v>0.15</v>
      </c>
      <c r="H60" s="89" t="s">
        <v>237</v>
      </c>
    </row>
    <row r="61" spans="1:8" ht="15" customHeight="1" x14ac:dyDescent="0.35">
      <c r="B61" s="93" t="s">
        <v>238</v>
      </c>
      <c r="C61" s="97">
        <v>0.14000000000000001</v>
      </c>
      <c r="D61" s="97">
        <v>0.11</v>
      </c>
      <c r="E61" s="97">
        <v>0.18</v>
      </c>
      <c r="F61" s="97">
        <v>0.13</v>
      </c>
      <c r="G61" s="97">
        <v>0.09</v>
      </c>
      <c r="H61" s="90" t="s">
        <v>239</v>
      </c>
    </row>
    <row r="62" spans="1:8" ht="15" customHeight="1" x14ac:dyDescent="0.35">
      <c r="B62" s="94" t="s">
        <v>240</v>
      </c>
      <c r="C62" s="98">
        <v>-0.04</v>
      </c>
      <c r="D62" s="98">
        <v>0.02</v>
      </c>
      <c r="E62" s="98">
        <v>-0.04</v>
      </c>
      <c r="F62" s="98">
        <v>0.12</v>
      </c>
      <c r="G62" s="98">
        <v>0.24</v>
      </c>
      <c r="H62" s="89" t="s">
        <v>241</v>
      </c>
    </row>
    <row r="63" spans="1:8" ht="15" customHeight="1" x14ac:dyDescent="0.35">
      <c r="B63" s="93" t="s">
        <v>242</v>
      </c>
      <c r="C63" s="99">
        <v>5.8000000000000003E-2</v>
      </c>
      <c r="D63" s="99">
        <v>1.2E-2</v>
      </c>
      <c r="E63" s="99">
        <v>-2.3E-2</v>
      </c>
      <c r="F63" s="99">
        <v>6.5000000000000002E-2</v>
      </c>
      <c r="G63" s="99">
        <v>0.13800000000000001</v>
      </c>
      <c r="H63" s="90" t="s">
        <v>243</v>
      </c>
    </row>
    <row r="64" spans="1:8" ht="15" customHeight="1" x14ac:dyDescent="0.35">
      <c r="B64" s="94" t="s">
        <v>244</v>
      </c>
      <c r="C64" s="100">
        <v>80.75</v>
      </c>
      <c r="D64" s="100">
        <v>76.099999999999994</v>
      </c>
      <c r="E64" s="100">
        <v>70.42</v>
      </c>
      <c r="F64" s="100">
        <v>72.430000000000007</v>
      </c>
      <c r="G64" s="100">
        <v>82.1</v>
      </c>
      <c r="H64" s="89" t="s">
        <v>245</v>
      </c>
    </row>
    <row r="65" spans="1:8" ht="6" customHeight="1" x14ac:dyDescent="0.35"/>
    <row r="66" spans="1:8" x14ac:dyDescent="0.35">
      <c r="A66" s="167" t="s">
        <v>246</v>
      </c>
      <c r="B66" s="167"/>
      <c r="C66" s="167"/>
      <c r="D66" s="167"/>
      <c r="E66" s="167"/>
      <c r="F66" s="167"/>
      <c r="G66" s="167"/>
      <c r="H66" s="167"/>
    </row>
  </sheetData>
  <mergeCells count="11">
    <mergeCell ref="A28:H28"/>
    <mergeCell ref="A36:H36"/>
    <mergeCell ref="A45:H45"/>
    <mergeCell ref="A55:H55"/>
    <mergeCell ref="A66:H66"/>
    <mergeCell ref="A27:H27"/>
    <mergeCell ref="A1:H1"/>
    <mergeCell ref="A2:H2"/>
    <mergeCell ref="A5:H5"/>
    <mergeCell ref="A6:H6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WACC</vt:lpstr>
      <vt:lpstr>Data &gt;&gt;</vt:lpstr>
      <vt:lpstr>Income Statement</vt:lpstr>
      <vt:lpstr>Cash Flow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T D</dc:creator>
  <cp:lastModifiedBy>Nidhi T D</cp:lastModifiedBy>
  <dcterms:created xsi:type="dcterms:W3CDTF">2026-01-26T04:05:20Z</dcterms:created>
  <dcterms:modified xsi:type="dcterms:W3CDTF">2026-03-12T16:42:13Z</dcterms:modified>
</cp:coreProperties>
</file>